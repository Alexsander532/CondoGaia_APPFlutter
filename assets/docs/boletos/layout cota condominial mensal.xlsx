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0" sheetId="1" r:id="rId5"/>
    <sheet state="visible" name="layout 1" sheetId="2" r:id="rId6"/>
    <sheet state="visible" name="layout 2" sheetId="3" r:id="rId7"/>
    <sheet state="visible" name="layout 3" sheetId="4" r:id="rId8"/>
    <sheet state="visible" name="layout 4" sheetId="5" r:id="rId9"/>
    <sheet state="visible" name="layout 5" sheetId="6" r:id="rId10"/>
    <sheet state="visible" name="layout 6" sheetId="7" r:id="rId11"/>
    <sheet state="visible" name="layout 7" sheetId="8" r:id="rId12"/>
    <sheet state="visible" name="layout 8" sheetId="9" r:id="rId13"/>
    <sheet state="visible" name="layout 9" sheetId="10" r:id="rId14"/>
    <sheet state="visible" name="layout correios" sheetId="11" r:id="rId15"/>
  </sheets>
  <definedNames/>
  <calcPr/>
</workbook>
</file>

<file path=xl/sharedStrings.xml><?xml version="1.0" encoding="utf-8"?>
<sst xmlns="http://schemas.openxmlformats.org/spreadsheetml/2006/main" count="1069" uniqueCount="172">
  <si>
    <t>sistema: condogaia.com.br</t>
  </si>
  <si>
    <t>USER:</t>
  </si>
  <si>
    <t>JOSÉ PEREIRA</t>
  </si>
  <si>
    <t>LOGO BANCO</t>
  </si>
  <si>
    <t>748-X</t>
  </si>
  <si>
    <t>74891.12222 07857.709112 04190.261042 9 89810000133399</t>
  </si>
  <si>
    <t>Local de pagamento</t>
  </si>
  <si>
    <t>Vencimento</t>
  </si>
  <si>
    <t>PAGÁVEL EM QUALQUER BANCO ATÉ O VENCIMENTO</t>
  </si>
  <si>
    <t>Beneficiário</t>
  </si>
  <si>
    <t>CPF / CNPJ</t>
  </si>
  <si>
    <t>Agência / Código do Beneficiário</t>
  </si>
  <si>
    <t>Cond. Edifício Ramez Tebet</t>
  </si>
  <si>
    <t>08.944.065/0001-05</t>
  </si>
  <si>
    <t>0911.04.19026</t>
  </si>
  <si>
    <t>Data do Documento</t>
  </si>
  <si>
    <t>Nº do Documento</t>
  </si>
  <si>
    <t>Espécie Doc.</t>
  </si>
  <si>
    <t>Aceite</t>
  </si>
  <si>
    <t>Data Processamento</t>
  </si>
  <si>
    <t>Nosso Número</t>
  </si>
  <si>
    <t>DM</t>
  </si>
  <si>
    <t>N</t>
  </si>
  <si>
    <t>22/207857-7</t>
  </si>
  <si>
    <t>Uso do Banco</t>
  </si>
  <si>
    <t>Carteira</t>
  </si>
  <si>
    <t>Espécie</t>
  </si>
  <si>
    <t>Quantidade</t>
  </si>
  <si>
    <t>Valor</t>
  </si>
  <si>
    <t>Valor Documento</t>
  </si>
  <si>
    <t>REAL</t>
  </si>
  <si>
    <t>R$ 1.333,99</t>
  </si>
  <si>
    <t>Instruções de responsabilidade do beneficiário. Qualquer dúvida sobre este boleto, contate o beneficiário.</t>
  </si>
  <si>
    <t>(-) Descontos / Abatimentos</t>
  </si>
  <si>
    <t>TEXTO LIVRE.... INSERIDO NO MENU CONDOMÍNIO</t>
  </si>
  <si>
    <t>R$ 0,00</t>
  </si>
  <si>
    <t>(-) Outras deduções</t>
  </si>
  <si>
    <t>(+) Mora / Multa</t>
  </si>
  <si>
    <t>(+) Outros acréscimos</t>
  </si>
  <si>
    <t>(=) Valor Cobrado</t>
  </si>
  <si>
    <t>Pagador</t>
  </si>
  <si>
    <t>JENER LUIZ MARIN, CPF: 562.235.601-68 - B/102</t>
  </si>
  <si>
    <t>Avenida Aldair Rosa de Oliveira, 1700 - Interlagos</t>
  </si>
  <si>
    <t>79.640-100 - Três Lagoas - MS</t>
  </si>
  <si>
    <t>Autenticação Mecânica</t>
  </si>
  <si>
    <t>FICHA DE COMPENSAÇÃO</t>
  </si>
  <si>
    <t>LOGO 1</t>
  </si>
  <si>
    <t>Condomínio Residencial Ramez Tebet</t>
  </si>
  <si>
    <t>LOGO 2</t>
  </si>
  <si>
    <t>Referência</t>
  </si>
  <si>
    <t>Mês 04/2022</t>
  </si>
  <si>
    <t>Entrada do mês 04/2022</t>
  </si>
  <si>
    <t>Contato</t>
  </si>
  <si>
    <t>E-mail: contato@gmail.com</t>
  </si>
  <si>
    <t>Cota Condominial</t>
  </si>
  <si>
    <r>
      <rPr/>
      <t xml:space="preserve">Site: </t>
    </r>
    <r>
      <rPr>
        <color rgb="FF1155CC"/>
        <u/>
      </rPr>
      <t>www.condogaia.com.br</t>
    </r>
  </si>
  <si>
    <t>Tel.: (17) 3555 4455</t>
  </si>
  <si>
    <t>Acordos Feitos</t>
  </si>
  <si>
    <t>Total Inadimplência</t>
  </si>
  <si>
    <t>Inadimplencia</t>
  </si>
  <si>
    <t>Consumo Gás</t>
  </si>
  <si>
    <t>Unid: 5   Valor Total: R$ 5.000,00</t>
  </si>
  <si>
    <t>da sua unidade</t>
  </si>
  <si>
    <t>Fundo Reserva</t>
  </si>
  <si>
    <t>Saldo em caixa / banco:</t>
  </si>
  <si>
    <t>01/2022 - R$ 500,00</t>
  </si>
  <si>
    <t>Multa/juros</t>
  </si>
  <si>
    <t>Caixa</t>
  </si>
  <si>
    <t>R$ 100,00</t>
  </si>
  <si>
    <t>02/2022 - R$ 500,00</t>
  </si>
  <si>
    <t>Taxa Adm. Cobrança</t>
  </si>
  <si>
    <t>Conta A</t>
  </si>
  <si>
    <t>R$ 4.000,00</t>
  </si>
  <si>
    <t>Crédito Antena</t>
  </si>
  <si>
    <t>Conta B</t>
  </si>
  <si>
    <t>R$ 6.000,00</t>
  </si>
  <si>
    <t>Crédito Juros Investimento</t>
  </si>
  <si>
    <t>R$ 15.000,00</t>
  </si>
  <si>
    <t>Crédito Seguro</t>
  </si>
  <si>
    <t>Transferências entre contas</t>
  </si>
  <si>
    <t>Conta A       &gt;</t>
  </si>
  <si>
    <t>R$ 3.000,00</t>
  </si>
  <si>
    <t>TOTAL</t>
  </si>
  <si>
    <t>Contata B     &gt;</t>
  </si>
  <si>
    <t>R$ 1.000,01</t>
  </si>
  <si>
    <t>Saída do mês 04/2022</t>
  </si>
  <si>
    <t>Composiçao do Boleto</t>
  </si>
  <si>
    <t>13º salário-Funcionários Joao, Maria, Pedro, José...</t>
  </si>
  <si>
    <t>R$ 300,00</t>
  </si>
  <si>
    <t>Acordos trabalhistas- demissão do Antônio</t>
  </si>
  <si>
    <t xml:space="preserve">Consumo de Gás </t>
  </si>
  <si>
    <t>R$ 181,49</t>
  </si>
  <si>
    <t>Adiantamento férias-para o senhor João</t>
  </si>
  <si>
    <t xml:space="preserve">       Valor do kg R$ 9,0557   </t>
  </si>
  <si>
    <t>Ar condicionado-para a guarita</t>
  </si>
  <si>
    <t>R$ 10,00</t>
  </si>
  <si>
    <t>Brinquedos -Playground / biblioteca - compra de</t>
  </si>
  <si>
    <t>Rateio Manutençao</t>
  </si>
  <si>
    <t>R$ 200,00</t>
  </si>
  <si>
    <t>Carrinho- para o playgroud</t>
  </si>
  <si>
    <t xml:space="preserve">        1 de 3 Pintura</t>
  </si>
  <si>
    <t>FGTS-Folha de Pagamento</t>
  </si>
  <si>
    <t>Comunicado</t>
  </si>
  <si>
    <t>INSS - Folha de pagamento</t>
  </si>
  <si>
    <t>IRRF - Flha de pagamento</t>
  </si>
  <si>
    <t>PIS- Folha de pagamento</t>
  </si>
  <si>
    <t>Limpeza- Joana da Silva</t>
  </si>
  <si>
    <t>102/B - Maria José da Silva CPF: 123.456.789-99</t>
  </si>
  <si>
    <t>RESULTADO</t>
  </si>
  <si>
    <t>DATA DE VENCIMENTO</t>
  </si>
  <si>
    <t>Saldo Anterior</t>
  </si>
  <si>
    <t>Agencia/ Cod do beneficiario</t>
  </si>
  <si>
    <t>Valor do documento</t>
  </si>
  <si>
    <t>Receitas</t>
  </si>
  <si>
    <t>Nosso número</t>
  </si>
  <si>
    <t>Multa</t>
  </si>
  <si>
    <t>Outros acrescimos</t>
  </si>
  <si>
    <t>Despesas</t>
  </si>
  <si>
    <t>Descontos</t>
  </si>
  <si>
    <t>Outras deducoes</t>
  </si>
  <si>
    <t>Saldo atual</t>
  </si>
  <si>
    <t>Valor Total a ser cobrado</t>
  </si>
  <si>
    <t>R$ 681,49</t>
  </si>
  <si>
    <t>// em Despesas primeiro aparece a Subcategoria e depois do "-"a descriçao.</t>
  </si>
  <si>
    <t>Receitas do mês 04/2022</t>
  </si>
  <si>
    <t>LOGO</t>
  </si>
  <si>
    <t>Inadimplência Total</t>
  </si>
  <si>
    <t>fexível</t>
  </si>
  <si>
    <t>Despesas do mês 04/2022</t>
  </si>
  <si>
    <t>B/102 - Maria José da Silva CPF: 123.456.789-99</t>
  </si>
  <si>
    <t>Inadimplência</t>
  </si>
  <si>
    <t>Unid.</t>
  </si>
  <si>
    <t>Mês/ano</t>
  </si>
  <si>
    <t xml:space="preserve">R$ </t>
  </si>
  <si>
    <t xml:space="preserve">Condomínio Residencial Ramez Tebet - </t>
  </si>
  <si>
    <t>Demonstrativo</t>
  </si>
  <si>
    <t>sistema condogaia.com.br</t>
  </si>
  <si>
    <r>
      <rPr>
        <rFont val="Arial"/>
        <color rgb="FF000000"/>
        <sz val="9.0"/>
      </rPr>
      <t xml:space="preserve">sistema </t>
    </r>
    <r>
      <rPr>
        <rFont val="Arial"/>
        <color rgb="FF000000"/>
        <sz val="9.0"/>
      </rPr>
      <t>condogaia.com.br</t>
    </r>
  </si>
  <si>
    <r>
      <rPr/>
      <t xml:space="preserve">Site: </t>
    </r>
    <r>
      <rPr>
        <color rgb="FF1155CC"/>
        <u/>
      </rPr>
      <t>www.condogaia.com.br</t>
    </r>
  </si>
  <si>
    <t>TEXTO LIVRE.... INSERINO NO MENU CONDOMÍNIO</t>
  </si>
  <si>
    <r>
      <rPr>
        <rFont val="Arial"/>
        <color rgb="FF000000"/>
        <sz val="9.0"/>
      </rPr>
      <t xml:space="preserve">sistema </t>
    </r>
    <r>
      <rPr>
        <rFont val="Arial"/>
        <color rgb="FF000000"/>
        <sz val="9.0"/>
      </rPr>
      <t>condogaia.com.br</t>
    </r>
  </si>
  <si>
    <r>
      <rPr/>
      <t xml:space="preserve">Site: </t>
    </r>
    <r>
      <rPr>
        <color rgb="FF1155CC"/>
        <u/>
      </rPr>
      <t>www.condogaia.com.br</t>
    </r>
  </si>
  <si>
    <t>Leitura Anterior Àgua</t>
  </si>
  <si>
    <t>Leitura Atual Àgua</t>
  </si>
  <si>
    <t>Leitura Anterior Gás</t>
  </si>
  <si>
    <t>Leitura Atual Gás</t>
  </si>
  <si>
    <t>FOTO DO MEDIDOR</t>
  </si>
  <si>
    <t>-</t>
  </si>
  <si>
    <t>BOLETO CONDOMÍNIO MONTE CARLO</t>
  </si>
  <si>
    <t>JOSÉ DA SILVA PEREIRA</t>
  </si>
  <si>
    <t>Rua Davide Prerez, 297</t>
  </si>
  <si>
    <t>Jardim Bandeirantes</t>
  </si>
  <si>
    <t>04470-260</t>
  </si>
  <si>
    <t>SÃO PAULO SP</t>
  </si>
  <si>
    <t>Unidade: B-102</t>
  </si>
  <si>
    <t>REMETENTE:</t>
  </si>
  <si>
    <t>CONDOMÍNIO MONTE CARLO</t>
  </si>
  <si>
    <t>PARA USO DO CORREIO</t>
  </si>
  <si>
    <t>MUDOU-SE</t>
  </si>
  <si>
    <t>AUSENTE</t>
  </si>
  <si>
    <t>ENDEREÇO ERRADO</t>
  </si>
  <si>
    <t>DATA:</t>
  </si>
  <si>
    <t>REINTEGRADO AO SERVIÇO</t>
  </si>
  <si>
    <t>RECUSADO</t>
  </si>
  <si>
    <t>NÃO PROCURADO</t>
  </si>
  <si>
    <t>DESCONHECIMENTO</t>
  </si>
  <si>
    <t>POSTAL EM:</t>
  </si>
  <si>
    <t>DESCONHECIDO</t>
  </si>
  <si>
    <t>FALECIDO</t>
  </si>
  <si>
    <t>INFORMAÇÃO FORNECIDA  .....</t>
  </si>
  <si>
    <t>ASSINATURA E Nº DO ENTREGADOR:</t>
  </si>
  <si>
    <t>POR PORTEIRO/SÍNDICO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</si>
</sst>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h:mm"/>
    <numFmt numFmtId="166" formatCode="[$R$ -416]#,##0.00"/>
    <numFmt numFmtId="167" formatCode="dd/mm/yyyy"/>
  </numFmts>
  <fonts count="26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b/>
      <sz val="14.0"/>
      <color theme="1"/>
      <name val="Arial"/>
      <scheme val="minor"/>
    </font>
    <font/>
    <font>
      <b/>
      <sz val="16.0"/>
      <color theme="1"/>
      <name val="Arial"/>
      <scheme val="minor"/>
    </font>
    <font>
      <b/>
      <sz val="11.0"/>
      <color theme="1"/>
      <name val="Arial"/>
      <scheme val="minor"/>
    </font>
    <font>
      <sz val="6.0"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Helvetica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Helvetica"/>
    </font>
    <font>
      <sz val="10.0"/>
      <color theme="1"/>
      <name val="Arial"/>
      <scheme val="minor"/>
    </font>
    <font>
      <u/>
      <color rgb="FF0000FF"/>
    </font>
    <font>
      <b/>
      <sz val="10.0"/>
      <color theme="1"/>
      <name val="Arial"/>
    </font>
    <font>
      <color rgb="FF202124"/>
      <name val="Calibri"/>
    </font>
    <font>
      <sz val="11.0"/>
      <color theme="1"/>
      <name val="Calibri"/>
    </font>
    <font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sz val="9.0"/>
      <color rgb="FF000000"/>
      <name val="Arial"/>
      <scheme val="minor"/>
    </font>
    <font>
      <b/>
      <color rgb="FF000000"/>
      <name val="Arial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/>
    <border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/>
    </xf>
    <xf borderId="1" fillId="0" fontId="1" numFmtId="165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0" fontId="6" numFmtId="166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2" fillId="0" fontId="7" numFmtId="0" xfId="0" applyAlignment="1" applyBorder="1" applyFont="1">
      <alignment readingOrder="0" vertical="top"/>
    </xf>
    <xf borderId="3" fillId="0" fontId="8" numFmtId="0" xfId="0" applyAlignment="1" applyBorder="1" applyFont="1">
      <alignment vertical="top"/>
    </xf>
    <xf borderId="3" fillId="0" fontId="8" numFmtId="166" xfId="0" applyAlignment="1" applyBorder="1" applyFont="1" applyNumberFormat="1">
      <alignment horizontal="left" vertical="top"/>
    </xf>
    <xf borderId="4" fillId="0" fontId="8" numFmtId="0" xfId="0" applyAlignment="1" applyBorder="1" applyFont="1">
      <alignment vertical="top"/>
    </xf>
    <xf borderId="8" fillId="0" fontId="7" numFmtId="0" xfId="0" applyAlignment="1" applyBorder="1" applyFont="1">
      <alignment readingOrder="0" vertical="top"/>
    </xf>
    <xf borderId="5" fillId="0" fontId="8" numFmtId="0" xfId="0" applyAlignment="1" applyBorder="1" applyFont="1">
      <alignment readingOrder="0"/>
    </xf>
    <xf borderId="6" fillId="0" fontId="8" numFmtId="0" xfId="0" applyBorder="1" applyFont="1"/>
    <xf borderId="6" fillId="0" fontId="8" numFmtId="166" xfId="0" applyAlignment="1" applyBorder="1" applyFont="1" applyNumberFormat="1">
      <alignment horizontal="left"/>
    </xf>
    <xf borderId="7" fillId="0" fontId="8" numFmtId="0" xfId="0" applyBorder="1" applyFont="1"/>
    <xf borderId="9" fillId="0" fontId="8" numFmtId="167" xfId="0" applyAlignment="1" applyBorder="1" applyFont="1" applyNumberFormat="1">
      <alignment horizontal="left" readingOrder="0"/>
    </xf>
    <xf borderId="3" fillId="0" fontId="7" numFmtId="0" xfId="0" applyAlignment="1" applyBorder="1" applyFont="1">
      <alignment vertical="top"/>
    </xf>
    <xf borderId="4" fillId="0" fontId="7" numFmtId="166" xfId="0" applyAlignment="1" applyBorder="1" applyFont="1" applyNumberFormat="1">
      <alignment horizontal="left" vertical="top"/>
    </xf>
    <xf borderId="4" fillId="0" fontId="7" numFmtId="0" xfId="0" applyAlignment="1" applyBorder="1" applyFont="1">
      <alignment vertical="top"/>
    </xf>
    <xf borderId="7" fillId="0" fontId="8" numFmtId="166" xfId="0" applyAlignment="1" applyBorder="1" applyFont="1" applyNumberFormat="1">
      <alignment horizontal="left"/>
    </xf>
    <xf borderId="9" fillId="0" fontId="8" numFmtId="0" xfId="0" applyAlignment="1" applyBorder="1" applyFont="1">
      <alignment readingOrder="0"/>
    </xf>
    <xf borderId="8" fillId="0" fontId="7" numFmtId="166" xfId="0" applyAlignment="1" applyBorder="1" applyFont="1" applyNumberFormat="1">
      <alignment horizontal="left" readingOrder="0" vertical="top"/>
    </xf>
    <xf borderId="9" fillId="0" fontId="8" numFmtId="0" xfId="0" applyAlignment="1" applyBorder="1" applyFont="1">
      <alignment horizontal="left" readingOrder="0"/>
    </xf>
    <xf borderId="9" fillId="0" fontId="8" numFmtId="166" xfId="0" applyAlignment="1" applyBorder="1" applyFont="1" applyNumberFormat="1">
      <alignment horizontal="left" readingOrder="0"/>
    </xf>
    <xf borderId="5" fillId="0" fontId="8" numFmtId="167" xfId="0" applyAlignment="1" applyBorder="1" applyFont="1" applyNumberFormat="1">
      <alignment horizontal="left" readingOrder="0"/>
    </xf>
    <xf borderId="9" fillId="0" fontId="8" numFmtId="0" xfId="0" applyBorder="1" applyFont="1"/>
    <xf borderId="9" fillId="0" fontId="8" numFmtId="166" xfId="0" applyAlignment="1" applyBorder="1" applyFont="1" applyNumberFormat="1">
      <alignment horizontal="left"/>
    </xf>
    <xf borderId="5" fillId="0" fontId="8" numFmtId="0" xfId="0" applyBorder="1" applyFont="1"/>
    <xf borderId="10" fillId="0" fontId="9" numFmtId="0" xfId="0" applyAlignment="1" applyBorder="1" applyFont="1">
      <alignment horizontal="center" readingOrder="0" vertical="center"/>
    </xf>
    <xf borderId="11" fillId="0" fontId="4" numFmtId="0" xfId="0" applyBorder="1" applyFont="1"/>
    <xf borderId="10" fillId="0" fontId="4" numFmtId="0" xfId="0" applyBorder="1" applyFont="1"/>
    <xf borderId="12" fillId="0" fontId="7" numFmtId="0" xfId="0" applyAlignment="1" applyBorder="1" applyFont="1">
      <alignment readingOrder="0" vertical="top"/>
    </xf>
    <xf borderId="10" fillId="0" fontId="10" numFmtId="0" xfId="0" applyAlignment="1" applyBorder="1" applyFont="1">
      <alignment readingOrder="0"/>
    </xf>
    <xf borderId="0" fillId="0" fontId="8" numFmtId="166" xfId="0" applyAlignment="1" applyFont="1" applyNumberFormat="1">
      <alignment horizontal="left"/>
    </xf>
    <xf borderId="11" fillId="0" fontId="8" numFmtId="0" xfId="0" applyBorder="1" applyFont="1"/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/>
    </xf>
    <xf borderId="0" fillId="2" fontId="11" numFmtId="0" xfId="0" applyAlignment="1" applyFill="1" applyFont="1">
      <alignment horizontal="center" readingOrder="0" vertical="center"/>
    </xf>
    <xf borderId="0" fillId="2" fontId="8" numFmtId="0" xfId="0" applyAlignment="1" applyFont="1">
      <alignment readingOrder="0"/>
    </xf>
    <xf borderId="0" fillId="2" fontId="8" numFmtId="166" xfId="0" applyAlignment="1" applyFont="1" applyNumberFormat="1">
      <alignment horizontal="left"/>
    </xf>
    <xf borderId="0" fillId="0" fontId="8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2" fillId="2" fontId="14" numFmtId="0" xfId="0" applyAlignment="1" applyBorder="1" applyFont="1">
      <alignment readingOrder="0"/>
    </xf>
    <xf borderId="3" fillId="2" fontId="8" numFmtId="0" xfId="0" applyBorder="1" applyFont="1"/>
    <xf borderId="3" fillId="2" fontId="8" numFmtId="166" xfId="0" applyAlignment="1" applyBorder="1" applyFont="1" applyNumberFormat="1">
      <alignment horizontal="left"/>
    </xf>
    <xf borderId="2" fillId="0" fontId="8" numFmtId="0" xfId="0" applyAlignment="1" applyBorder="1" applyFont="1">
      <alignment horizontal="left" readingOrder="0" vertical="center"/>
    </xf>
    <xf borderId="3" fillId="0" fontId="15" numFmtId="0" xfId="0" applyAlignment="1" applyBorder="1" applyFont="1">
      <alignment horizontal="left" readingOrder="0"/>
    </xf>
    <xf borderId="4" fillId="0" fontId="8" numFmtId="0" xfId="0" applyBorder="1" applyFont="1"/>
    <xf borderId="10" fillId="2" fontId="8" numFmtId="0" xfId="0" applyAlignment="1" applyBorder="1" applyFont="1">
      <alignment readingOrder="0"/>
    </xf>
    <xf borderId="0" fillId="2" fontId="8" numFmtId="0" xfId="0" applyFont="1"/>
    <xf borderId="0" fillId="2" fontId="8" numFmtId="166" xfId="0" applyAlignment="1" applyFont="1" applyNumberFormat="1">
      <alignment horizontal="left" readingOrder="0"/>
    </xf>
    <xf borderId="5" fillId="0" fontId="16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11" fillId="2" fontId="8" numFmtId="166" xfId="0" applyAlignment="1" applyBorder="1" applyFont="1" applyNumberFormat="1">
      <alignment horizontal="left" readingOrder="0"/>
    </xf>
    <xf borderId="10" fillId="0" fontId="13" numFmtId="0" xfId="0" applyAlignment="1" applyBorder="1" applyFont="1">
      <alignment readingOrder="0"/>
    </xf>
    <xf borderId="12" fillId="0" fontId="13" numFmtId="0" xfId="0" applyAlignment="1" applyBorder="1" applyFont="1">
      <alignment horizontal="center" readingOrder="0"/>
    </xf>
    <xf borderId="2" fillId="0" fontId="17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12" fillId="0" fontId="8" numFmtId="0" xfId="0" applyBorder="1" applyFont="1"/>
    <xf borderId="7" fillId="0" fontId="8" numFmtId="0" xfId="0" applyAlignment="1" applyBorder="1" applyFont="1">
      <alignment readingOrder="0"/>
    </xf>
    <xf borderId="10" fillId="2" fontId="8" numFmtId="0" xfId="0" applyBorder="1" applyFont="1"/>
    <xf borderId="11" fillId="2" fontId="8" numFmtId="166" xfId="0" applyAlignment="1" applyBorder="1" applyFont="1" applyNumberFormat="1">
      <alignment horizontal="left"/>
    </xf>
    <xf borderId="11" fillId="0" fontId="8" numFmtId="0" xfId="0" applyAlignment="1" applyBorder="1" applyFont="1">
      <alignment horizontal="center" readingOrder="0"/>
    </xf>
    <xf borderId="10" fillId="2" fontId="13" numFmtId="0" xfId="0" applyAlignment="1" applyBorder="1" applyFont="1">
      <alignment readingOrder="0"/>
    </xf>
    <xf borderId="0" fillId="2" fontId="13" numFmtId="0" xfId="0" applyFont="1"/>
    <xf borderId="11" fillId="2" fontId="13" numFmtId="166" xfId="0" applyAlignment="1" applyBorder="1" applyFont="1" applyNumberFormat="1">
      <alignment horizontal="left"/>
    </xf>
    <xf borderId="5" fillId="2" fontId="8" numFmtId="0" xfId="0" applyBorder="1" applyFont="1"/>
    <xf borderId="6" fillId="2" fontId="8" numFmtId="0" xfId="0" applyBorder="1" applyFont="1"/>
    <xf borderId="7" fillId="2" fontId="8" numFmtId="166" xfId="0" applyAlignment="1" applyBorder="1" applyFont="1" applyNumberFormat="1">
      <alignment horizontal="left"/>
    </xf>
    <xf borderId="2" fillId="0" fontId="14" numFmtId="0" xfId="0" applyAlignment="1" applyBorder="1" applyFont="1">
      <alignment readingOrder="0" vertical="bottom"/>
    </xf>
    <xf borderId="3" fillId="0" fontId="8" numFmtId="0" xfId="0" applyBorder="1" applyFont="1"/>
    <xf borderId="4" fillId="0" fontId="8" numFmtId="166" xfId="0" applyAlignment="1" applyBorder="1" applyFont="1" applyNumberFormat="1">
      <alignment horizontal="left"/>
    </xf>
    <xf borderId="10" fillId="3" fontId="18" numFmtId="0" xfId="0" applyAlignment="1" applyBorder="1" applyFill="1" applyFont="1">
      <alignment readingOrder="0" vertical="bottom"/>
    </xf>
    <xf borderId="11" fillId="0" fontId="8" numFmtId="166" xfId="0" applyAlignment="1" applyBorder="1" applyFont="1" applyNumberFormat="1">
      <alignment horizontal="left"/>
    </xf>
    <xf borderId="11" fillId="0" fontId="8" numFmtId="0" xfId="0" applyAlignment="1" applyBorder="1" applyFont="1">
      <alignment horizontal="right" readingOrder="0"/>
    </xf>
    <xf borderId="10" fillId="0" fontId="19" numFmtId="0" xfId="0" applyAlignment="1" applyBorder="1" applyFont="1">
      <alignment readingOrder="0" vertical="bottom"/>
    </xf>
    <xf borderId="11" fillId="3" fontId="20" numFmtId="0" xfId="0" applyAlignment="1" applyBorder="1" applyFont="1">
      <alignment horizontal="right" readingOrder="0"/>
    </xf>
    <xf borderId="10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readingOrder="0" vertical="top"/>
    </xf>
    <xf borderId="10" fillId="0" fontId="19" numFmtId="0" xfId="0" applyAlignment="1" applyBorder="1" applyFont="1">
      <alignment vertical="bottom"/>
    </xf>
    <xf borderId="2" fillId="0" fontId="8" numFmtId="0" xfId="0" applyAlignment="1" applyBorder="1" applyFont="1">
      <alignment readingOrder="0"/>
    </xf>
    <xf borderId="10" fillId="0" fontId="8" numFmtId="0" xfId="0" applyBorder="1" applyFont="1"/>
    <xf borderId="10" fillId="0" fontId="21" numFmtId="0" xfId="0" applyAlignment="1" applyBorder="1" applyFont="1">
      <alignment horizontal="left" readingOrder="0" shrinkToFit="0" vertical="bottom" wrapText="0"/>
    </xf>
    <xf borderId="5" fillId="0" fontId="13" numFmtId="0" xfId="0" applyAlignment="1" applyBorder="1" applyFont="1">
      <alignment readingOrder="0"/>
    </xf>
    <xf borderId="6" fillId="0" fontId="13" numFmtId="0" xfId="0" applyBorder="1" applyFont="1"/>
    <xf borderId="7" fillId="0" fontId="13" numFmtId="166" xfId="0" applyAlignment="1" applyBorder="1" applyFont="1" applyNumberFormat="1">
      <alignment horizontal="left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3" numFmtId="166" xfId="0" applyAlignment="1" applyFont="1" applyNumberFormat="1">
      <alignment horizontal="left"/>
    </xf>
    <xf borderId="13" fillId="0" fontId="13" numFmtId="0" xfId="0" applyAlignment="1" applyBorder="1" applyFont="1">
      <alignment readingOrder="0"/>
    </xf>
    <xf borderId="14" fillId="0" fontId="13" numFmtId="0" xfId="0" applyBorder="1" applyFont="1"/>
    <xf borderId="15" fillId="0" fontId="13" numFmtId="167" xfId="0" applyAlignment="1" applyBorder="1" applyFont="1" applyNumberFormat="1">
      <alignment horizontal="left" readingOrder="0"/>
    </xf>
    <xf borderId="2" fillId="0" fontId="22" numFmtId="0" xfId="0" applyAlignment="1" applyBorder="1" applyFont="1">
      <alignment readingOrder="0"/>
    </xf>
    <xf borderId="4" fillId="0" fontId="8" numFmtId="166" xfId="0" applyAlignment="1" applyBorder="1" applyFont="1" applyNumberFormat="1">
      <alignment horizontal="left" readingOrder="0"/>
    </xf>
    <xf borderId="13" fillId="0" fontId="7" numFmtId="0" xfId="0" applyAlignment="1" applyBorder="1" applyFont="1">
      <alignment readingOrder="0" vertical="top"/>
    </xf>
    <xf borderId="15" fillId="0" fontId="7" numFmtId="0" xfId="0" applyAlignment="1" applyBorder="1" applyFont="1">
      <alignment vertical="top"/>
    </xf>
    <xf borderId="16" fillId="0" fontId="7" numFmtId="0" xfId="0" applyAlignment="1" applyBorder="1" applyFont="1">
      <alignment readingOrder="0" vertical="top"/>
    </xf>
    <xf borderId="11" fillId="0" fontId="8" numFmtId="166" xfId="0" applyAlignment="1" applyBorder="1" applyFont="1" applyNumberFormat="1">
      <alignment horizontal="left" readingOrder="0"/>
    </xf>
    <xf borderId="0" fillId="0" fontId="7" numFmtId="0" xfId="0" applyAlignment="1" applyFont="1">
      <alignment vertical="top"/>
    </xf>
    <xf borderId="15" fillId="0" fontId="13" numFmtId="0" xfId="0" applyAlignment="1" applyBorder="1" applyFont="1">
      <alignment readingOrder="0"/>
    </xf>
    <xf borderId="0" fillId="0" fontId="8" numFmtId="0" xfId="0" applyAlignment="1" applyFont="1">
      <alignment vertical="top"/>
    </xf>
    <xf borderId="4" fillId="2" fontId="8" numFmtId="166" xfId="0" applyAlignment="1" applyBorder="1" applyFont="1" applyNumberFormat="1">
      <alignment horizontal="left"/>
    </xf>
    <xf borderId="2" fillId="0" fontId="8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2" fillId="0" fontId="13" numFmtId="0" xfId="0" applyAlignment="1" applyBorder="1" applyFont="1">
      <alignment readingOrder="0"/>
    </xf>
    <xf borderId="8" fillId="0" fontId="13" numFmtId="0" xfId="0" applyAlignment="1" applyBorder="1" applyFont="1">
      <alignment horizontal="center" readingOrder="0"/>
    </xf>
    <xf borderId="15" fillId="0" fontId="13" numFmtId="167" xfId="0" applyAlignment="1" applyBorder="1" applyFont="1" applyNumberFormat="1">
      <alignment readingOrder="0"/>
    </xf>
    <xf borderId="13" fillId="0" fontId="8" numFmtId="0" xfId="0" applyAlignment="1" applyBorder="1" applyFont="1">
      <alignment readingOrder="0"/>
    </xf>
    <xf borderId="15" fillId="0" fontId="8" numFmtId="0" xfId="0" applyBorder="1" applyFont="1"/>
    <xf borderId="16" fillId="0" fontId="8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3" fillId="0" fontId="8" numFmtId="166" xfId="0" applyAlignment="1" applyBorder="1" applyFont="1" applyNumberFormat="1">
      <alignment horizontal="left"/>
    </xf>
    <xf borderId="8" fillId="0" fontId="7" numFmtId="0" xfId="0" applyAlignment="1" applyBorder="1" applyFont="1">
      <alignment readingOrder="0"/>
    </xf>
    <xf borderId="3" fillId="0" fontId="7" numFmtId="0" xfId="0" applyBorder="1" applyFont="1"/>
    <xf borderId="4" fillId="0" fontId="7" numFmtId="166" xfId="0" applyAlignment="1" applyBorder="1" applyFont="1" applyNumberFormat="1">
      <alignment horizontal="left"/>
    </xf>
    <xf borderId="4" fillId="0" fontId="7" numFmtId="0" xfId="0" applyBorder="1" applyFont="1"/>
    <xf borderId="0" fillId="0" fontId="7" numFmtId="0" xfId="0" applyFont="1"/>
    <xf borderId="8" fillId="0" fontId="7" numFmtId="166" xfId="0" applyAlignment="1" applyBorder="1" applyFont="1" applyNumberFormat="1">
      <alignment horizontal="left" readingOrder="0"/>
    </xf>
    <xf borderId="12" fillId="0" fontId="7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6" fillId="0" fontId="13" numFmtId="0" xfId="0" applyAlignment="1" applyBorder="1" applyFont="1">
      <alignment horizontal="center" readingOrder="0"/>
    </xf>
    <xf borderId="14" fillId="0" fontId="8" numFmtId="0" xfId="0" applyBorder="1" applyFont="1"/>
    <xf borderId="3" fillId="0" fontId="13" numFmtId="0" xfId="0" applyBorder="1" applyFont="1"/>
    <xf borderId="4" fillId="0" fontId="13" numFmtId="166" xfId="0" applyAlignment="1" applyBorder="1" applyFont="1" applyNumberFormat="1">
      <alignment horizontal="left"/>
    </xf>
    <xf borderId="4" fillId="0" fontId="13" numFmtId="167" xfId="0" applyAlignment="1" applyBorder="1" applyFont="1" applyNumberFormat="1">
      <alignment readingOrder="0"/>
    </xf>
    <xf borderId="6" fillId="0" fontId="13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  <xf borderId="16" fillId="0" fontId="7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0" fillId="0" fontId="10" numFmtId="0" xfId="0" applyAlignment="1" applyFont="1">
      <alignment vertical="top"/>
    </xf>
    <xf borderId="0" fillId="2" fontId="8" numFmtId="0" xfId="0" applyAlignment="1" applyFont="1">
      <alignment horizontal="right" readingOrder="0"/>
    </xf>
    <xf borderId="0" fillId="2" fontId="13" numFmtId="166" xfId="0" applyAlignment="1" applyFont="1" applyNumberFormat="1">
      <alignment horizontal="left" readingOrder="0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10" fillId="0" fontId="8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11" fillId="0" fontId="13" numFmtId="0" xfId="0" applyAlignment="1" applyBorder="1" applyFont="1">
      <alignment horizontal="center" readingOrder="0"/>
    </xf>
    <xf borderId="10" fillId="0" fontId="17" numFmtId="0" xfId="0" applyAlignment="1" applyBorder="1" applyFont="1">
      <alignment readingOrder="0"/>
    </xf>
    <xf borderId="0" fillId="2" fontId="13" numFmtId="166" xfId="0" applyAlignment="1" applyFont="1" applyNumberFormat="1">
      <alignment horizontal="left"/>
    </xf>
    <xf borderId="6" fillId="2" fontId="8" numFmtId="166" xfId="0" applyAlignment="1" applyBorder="1" applyFont="1" applyNumberFormat="1">
      <alignment horizontal="left"/>
    </xf>
    <xf borderId="11" fillId="0" fontId="13" numFmtId="166" xfId="0" applyAlignment="1" applyBorder="1" applyFont="1" applyNumberFormat="1">
      <alignment horizontal="left"/>
    </xf>
    <xf borderId="14" fillId="0" fontId="13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0" fillId="0" fontId="8" numFmtId="166" xfId="0" applyAlignment="1" applyFont="1" applyNumberFormat="1">
      <alignment horizontal="left" readingOrder="0"/>
    </xf>
    <xf borderId="3" fillId="0" fontId="8" numFmtId="0" xfId="0" applyAlignment="1" applyBorder="1" applyFont="1">
      <alignment readingOrder="0"/>
    </xf>
    <xf borderId="0" fillId="0" fontId="8" numFmtId="0" xfId="0" applyAlignment="1" applyFont="1">
      <alignment horizontal="left" readingOrder="0" vertical="center"/>
    </xf>
    <xf borderId="0" fillId="0" fontId="17" numFmtId="0" xfId="0" applyAlignment="1" applyFont="1">
      <alignment readingOrder="0"/>
    </xf>
    <xf borderId="10" fillId="0" fontId="14" numFmtId="0" xfId="0" applyAlignment="1" applyBorder="1" applyFont="1">
      <alignment readingOrder="0" vertical="bottom"/>
    </xf>
    <xf borderId="11" fillId="0" fontId="13" numFmtId="167" xfId="0" applyAlignment="1" applyBorder="1" applyFont="1" applyNumberFormat="1">
      <alignment horizontal="left" readingOrder="0"/>
    </xf>
    <xf borderId="11" fillId="0" fontId="7" numFmtId="0" xfId="0" applyAlignment="1" applyBorder="1" applyFont="1">
      <alignment readingOrder="0" vertical="top"/>
    </xf>
    <xf borderId="6" fillId="0" fontId="13" numFmtId="166" xfId="0" applyAlignment="1" applyBorder="1" applyFont="1" applyNumberFormat="1">
      <alignment horizontal="left"/>
    </xf>
    <xf borderId="2" fillId="3" fontId="24" numFmtId="0" xfId="0" applyAlignment="1" applyBorder="1" applyFont="1">
      <alignment horizontal="left" readingOrder="0"/>
    </xf>
    <xf borderId="0" fillId="3" fontId="24" numFmtId="0" xfId="0" applyAlignment="1" applyFont="1">
      <alignment horizontal="left" readingOrder="0"/>
    </xf>
    <xf borderId="16" fillId="3" fontId="24" numFmtId="0" xfId="0" applyAlignment="1" applyBorder="1" applyFont="1">
      <alignment horizontal="left" readingOrder="0"/>
    </xf>
    <xf borderId="2" fillId="0" fontId="22" numFmtId="0" xfId="0" applyAlignment="1" applyBorder="1" applyFont="1">
      <alignment horizontal="center" readingOrder="0" vertical="center"/>
    </xf>
    <xf borderId="10" fillId="0" fontId="22" numFmtId="0" xfId="0" applyAlignment="1" applyBorder="1" applyFont="1">
      <alignment readingOrder="0"/>
    </xf>
    <xf borderId="2" fillId="0" fontId="8" numFmtId="0" xfId="0" applyBorder="1" applyFont="1"/>
    <xf borderId="6" fillId="0" fontId="8" numFmtId="0" xfId="0" applyAlignment="1" applyBorder="1" applyFont="1">
      <alignment readingOrder="0"/>
    </xf>
    <xf borderId="0" fillId="3" fontId="20" numFmtId="0" xfId="0" applyAlignment="1" applyFont="1">
      <alignment horizontal="left" readingOrder="0"/>
    </xf>
    <xf borderId="2" fillId="0" fontId="25" numFmtId="0" xfId="0" applyAlignment="1" applyBorder="1" applyFont="1">
      <alignment readingOrder="0"/>
    </xf>
    <xf borderId="3" fillId="0" fontId="25" numFmtId="0" xfId="0" applyAlignment="1" applyBorder="1" applyFont="1">
      <alignment readingOrder="0"/>
    </xf>
    <xf borderId="4" fillId="0" fontId="25" numFmtId="0" xfId="0" applyAlignment="1" applyBorder="1" applyFont="1">
      <alignment readingOrder="0"/>
    </xf>
    <xf borderId="10" fillId="0" fontId="25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7" fillId="0" fontId="25" numFmtId="0" xfId="0" applyBorder="1" applyFont="1"/>
    <xf borderId="5" fillId="0" fontId="25" numFmtId="0" xfId="0" applyAlignment="1" applyBorder="1" applyFont="1">
      <alignment readingOrder="0"/>
    </xf>
    <xf borderId="0" fillId="0" fontId="25" numFmtId="0" xfId="0" applyAlignment="1" applyFont="1">
      <alignment readingOrder="0" vertical="top"/>
    </xf>
    <xf borderId="5" fillId="0" fontId="25" numFmtId="0" xfId="0" applyBorder="1" applyFont="1"/>
    <xf borderId="6" fillId="0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55</xdr:row>
      <xdr:rowOff>9525</xdr:rowOff>
    </xdr:from>
    <xdr:ext cx="1019175" cy="10001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56</xdr:row>
      <xdr:rowOff>19050</xdr:rowOff>
    </xdr:from>
    <xdr:ext cx="1343025" cy="5905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38100</xdr:rowOff>
    </xdr:from>
    <xdr:ext cx="7048500" cy="45720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58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61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53</xdr:row>
      <xdr:rowOff>180975</xdr:rowOff>
    </xdr:from>
    <xdr:ext cx="266700" cy="209550"/>
    <xdr:sp>
      <xdr:nvSpPr>
        <xdr:cNvPr id="3" name="Shape 3"/>
        <xdr:cNvSpPr/>
      </xdr:nvSpPr>
      <xdr:spPr>
        <a:xfrm>
          <a:off x="3194925" y="574700"/>
          <a:ext cx="662400" cy="5259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3">
        <v>44875.0</v>
      </c>
      <c r="E3" s="4">
        <v>0.3902777777777778</v>
      </c>
      <c r="F3" s="5" t="s">
        <v>1</v>
      </c>
      <c r="G3" s="6" t="s">
        <v>2</v>
      </c>
    </row>
    <row r="4">
      <c r="A4" s="7" t="s">
        <v>3</v>
      </c>
      <c r="B4" s="8"/>
      <c r="C4" s="9" t="s">
        <v>4</v>
      </c>
      <c r="D4" s="10" t="s">
        <v>5</v>
      </c>
      <c r="E4" s="8"/>
      <c r="F4" s="8"/>
      <c r="G4" s="11"/>
    </row>
    <row r="5">
      <c r="A5" s="12"/>
      <c r="B5" s="13"/>
      <c r="C5" s="13"/>
      <c r="D5" s="13"/>
      <c r="E5" s="13"/>
      <c r="F5" s="13"/>
      <c r="G5" s="14"/>
    </row>
    <row r="6">
      <c r="A6" s="15" t="s">
        <v>6</v>
      </c>
      <c r="B6" s="16"/>
      <c r="C6" s="16"/>
      <c r="D6" s="17"/>
      <c r="E6" s="16"/>
      <c r="F6" s="18"/>
      <c r="G6" s="19" t="s">
        <v>7</v>
      </c>
    </row>
    <row r="7">
      <c r="A7" s="20" t="s">
        <v>8</v>
      </c>
      <c r="B7" s="21"/>
      <c r="C7" s="21"/>
      <c r="D7" s="22"/>
      <c r="E7" s="21"/>
      <c r="F7" s="23"/>
      <c r="G7" s="24">
        <v>44691.0</v>
      </c>
    </row>
    <row r="8">
      <c r="A8" s="15" t="s">
        <v>9</v>
      </c>
      <c r="B8" s="25"/>
      <c r="C8" s="25"/>
      <c r="D8" s="26"/>
      <c r="E8" s="15" t="s">
        <v>10</v>
      </c>
      <c r="F8" s="27"/>
      <c r="G8" s="19" t="s">
        <v>11</v>
      </c>
    </row>
    <row r="9">
      <c r="A9" s="20" t="s">
        <v>12</v>
      </c>
      <c r="B9" s="21"/>
      <c r="C9" s="21"/>
      <c r="D9" s="28"/>
      <c r="E9" s="20" t="s">
        <v>13</v>
      </c>
      <c r="F9" s="23"/>
      <c r="G9" s="29" t="s">
        <v>14</v>
      </c>
    </row>
    <row r="10">
      <c r="A10" s="19" t="s">
        <v>15</v>
      </c>
      <c r="B10" s="19" t="s">
        <v>16</v>
      </c>
      <c r="C10" s="19" t="s">
        <v>17</v>
      </c>
      <c r="D10" s="30" t="s">
        <v>18</v>
      </c>
      <c r="E10" s="15" t="s">
        <v>19</v>
      </c>
      <c r="F10" s="27"/>
      <c r="G10" s="19" t="s">
        <v>20</v>
      </c>
    </row>
    <row r="11">
      <c r="A11" s="24">
        <v>44685.0</v>
      </c>
      <c r="B11" s="31">
        <v>205230.0</v>
      </c>
      <c r="C11" s="29" t="s">
        <v>21</v>
      </c>
      <c r="D11" s="32" t="s">
        <v>22</v>
      </c>
      <c r="E11" s="33">
        <v>44685.0</v>
      </c>
      <c r="F11" s="23"/>
      <c r="G11" s="29" t="s">
        <v>23</v>
      </c>
    </row>
    <row r="12">
      <c r="A12" s="19" t="s">
        <v>24</v>
      </c>
      <c r="B12" s="19" t="s">
        <v>25</v>
      </c>
      <c r="C12" s="19" t="s">
        <v>26</v>
      </c>
      <c r="D12" s="30" t="s">
        <v>27</v>
      </c>
      <c r="E12" s="15" t="s">
        <v>28</v>
      </c>
      <c r="F12" s="27"/>
      <c r="G12" s="19" t="s">
        <v>29</v>
      </c>
    </row>
    <row r="13">
      <c r="A13" s="34"/>
      <c r="B13" s="31">
        <v>1.0</v>
      </c>
      <c r="C13" s="29" t="s">
        <v>30</v>
      </c>
      <c r="D13" s="35"/>
      <c r="E13" s="36"/>
      <c r="F13" s="23"/>
      <c r="G13" s="29" t="s">
        <v>31</v>
      </c>
    </row>
    <row r="14">
      <c r="A14" s="15" t="s">
        <v>32</v>
      </c>
      <c r="B14" s="16"/>
      <c r="C14" s="16"/>
      <c r="D14" s="17"/>
      <c r="E14" s="16"/>
      <c r="F14" s="18"/>
      <c r="G14" s="19" t="s">
        <v>33</v>
      </c>
    </row>
    <row r="15">
      <c r="A15" s="37" t="s">
        <v>34</v>
      </c>
      <c r="F15" s="38"/>
      <c r="G15" s="29" t="s">
        <v>35</v>
      </c>
    </row>
    <row r="16">
      <c r="A16" s="39"/>
      <c r="F16" s="38"/>
      <c r="G16" s="19" t="s">
        <v>36</v>
      </c>
    </row>
    <row r="17">
      <c r="A17" s="39"/>
      <c r="F17" s="38"/>
      <c r="G17" s="29" t="s">
        <v>35</v>
      </c>
    </row>
    <row r="18">
      <c r="A18" s="39"/>
      <c r="F18" s="38"/>
      <c r="G18" s="19" t="s">
        <v>37</v>
      </c>
    </row>
    <row r="19">
      <c r="A19" s="39"/>
      <c r="F19" s="38"/>
      <c r="G19" s="29" t="s">
        <v>35</v>
      </c>
    </row>
    <row r="20">
      <c r="A20" s="39"/>
      <c r="F20" s="38"/>
      <c r="G20" s="19" t="s">
        <v>38</v>
      </c>
    </row>
    <row r="21">
      <c r="A21" s="39"/>
      <c r="F21" s="38"/>
      <c r="G21" s="29" t="s">
        <v>35</v>
      </c>
    </row>
    <row r="22">
      <c r="A22" s="39"/>
      <c r="F22" s="38"/>
      <c r="G22" s="40" t="s">
        <v>39</v>
      </c>
    </row>
    <row r="23">
      <c r="A23" s="12"/>
      <c r="B23" s="13"/>
      <c r="C23" s="13"/>
      <c r="D23" s="13"/>
      <c r="E23" s="13"/>
      <c r="F23" s="14"/>
      <c r="G23" s="29" t="s">
        <v>31</v>
      </c>
    </row>
    <row r="24">
      <c r="A24" s="15" t="s">
        <v>40</v>
      </c>
      <c r="B24" s="16"/>
      <c r="C24" s="16"/>
      <c r="D24" s="17"/>
      <c r="E24" s="16"/>
      <c r="F24" s="16"/>
      <c r="G24" s="18"/>
    </row>
    <row r="25">
      <c r="A25" s="41" t="s">
        <v>41</v>
      </c>
      <c r="D25" s="42"/>
      <c r="G25" s="43"/>
    </row>
    <row r="26">
      <c r="A26" s="41" t="s">
        <v>42</v>
      </c>
      <c r="D26" s="42"/>
      <c r="G26" s="43"/>
    </row>
    <row r="27">
      <c r="A27" s="41" t="s">
        <v>43</v>
      </c>
      <c r="D27" s="42"/>
      <c r="G27" s="43"/>
    </row>
    <row r="28">
      <c r="A28" s="36"/>
      <c r="B28" s="21"/>
      <c r="C28" s="21"/>
      <c r="D28" s="22"/>
      <c r="E28" s="21"/>
      <c r="F28" s="21"/>
      <c r="G28" s="23"/>
    </row>
    <row r="29">
      <c r="D29" s="42"/>
      <c r="E29" s="44" t="s">
        <v>44</v>
      </c>
      <c r="F29" s="45" t="s">
        <v>45</v>
      </c>
    </row>
    <row r="30">
      <c r="D30" s="42"/>
    </row>
    <row r="31">
      <c r="D31" s="42"/>
    </row>
  </sheetData>
  <mergeCells count="4">
    <mergeCell ref="A4:B5"/>
    <mergeCell ref="C4:C5"/>
    <mergeCell ref="D4:G5"/>
    <mergeCell ref="A15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9.0"/>
  </cols>
  <sheetData>
    <row r="1">
      <c r="A1" s="46" t="s">
        <v>46</v>
      </c>
      <c r="C1" s="47" t="s">
        <v>47</v>
      </c>
      <c r="D1" s="48"/>
      <c r="E1" s="49"/>
      <c r="F1" s="50" t="s">
        <v>48</v>
      </c>
    </row>
    <row r="2">
      <c r="C2" s="51" t="s">
        <v>49</v>
      </c>
      <c r="D2" s="52" t="s">
        <v>50</v>
      </c>
      <c r="E2" s="49"/>
    </row>
    <row r="3">
      <c r="A3" s="53" t="s">
        <v>51</v>
      </c>
      <c r="B3" s="54"/>
      <c r="C3" s="54"/>
      <c r="D3" s="55"/>
      <c r="E3" s="56" t="s">
        <v>52</v>
      </c>
      <c r="F3" s="57" t="s">
        <v>53</v>
      </c>
      <c r="G3" s="58"/>
    </row>
    <row r="4">
      <c r="A4" s="59" t="s">
        <v>54</v>
      </c>
      <c r="B4" s="60"/>
      <c r="C4" s="60"/>
      <c r="D4" s="61">
        <v>80000.0</v>
      </c>
      <c r="E4" s="62" t="s">
        <v>55</v>
      </c>
      <c r="F4" s="63"/>
      <c r="G4" s="64" t="s">
        <v>56</v>
      </c>
    </row>
    <row r="5">
      <c r="A5" s="59" t="s">
        <v>57</v>
      </c>
      <c r="B5" s="60"/>
      <c r="C5" s="60"/>
      <c r="D5" s="65">
        <v>5000.0</v>
      </c>
      <c r="E5" s="66" t="s">
        <v>58</v>
      </c>
      <c r="F5" s="43"/>
      <c r="G5" s="67" t="s">
        <v>59</v>
      </c>
    </row>
    <row r="6">
      <c r="A6" s="59" t="s">
        <v>60</v>
      </c>
      <c r="B6" s="60"/>
      <c r="C6" s="60"/>
      <c r="D6" s="65">
        <v>20000.0</v>
      </c>
      <c r="E6" s="20" t="s">
        <v>61</v>
      </c>
      <c r="F6" s="23"/>
      <c r="G6" s="67" t="s">
        <v>62</v>
      </c>
    </row>
    <row r="7">
      <c r="A7" s="59" t="s">
        <v>63</v>
      </c>
      <c r="B7" s="60"/>
      <c r="C7" s="60"/>
      <c r="D7" s="65">
        <v>5000.0</v>
      </c>
      <c r="E7" s="68" t="s">
        <v>64</v>
      </c>
      <c r="F7" s="58"/>
      <c r="G7" s="69" t="s">
        <v>65</v>
      </c>
    </row>
    <row r="8">
      <c r="A8" s="59" t="s">
        <v>66</v>
      </c>
      <c r="B8" s="60"/>
      <c r="C8" s="60"/>
      <c r="D8" s="65">
        <v>550.0</v>
      </c>
      <c r="E8" s="70" t="s">
        <v>67</v>
      </c>
      <c r="F8" s="71" t="s">
        <v>68</v>
      </c>
      <c r="G8" s="69" t="s">
        <v>69</v>
      </c>
    </row>
    <row r="9">
      <c r="A9" s="59" t="s">
        <v>70</v>
      </c>
      <c r="B9" s="60"/>
      <c r="C9" s="60"/>
      <c r="D9" s="65">
        <v>600.0</v>
      </c>
      <c r="E9" s="70" t="s">
        <v>71</v>
      </c>
      <c r="F9" s="71" t="s">
        <v>72</v>
      </c>
      <c r="G9" s="72"/>
    </row>
    <row r="10">
      <c r="A10" s="59" t="s">
        <v>73</v>
      </c>
      <c r="B10" s="60"/>
      <c r="C10" s="60"/>
      <c r="D10" s="65">
        <v>2000.0</v>
      </c>
      <c r="E10" s="70" t="s">
        <v>74</v>
      </c>
      <c r="F10" s="45" t="s">
        <v>75</v>
      </c>
      <c r="G10" s="72"/>
    </row>
    <row r="11">
      <c r="A11" s="59" t="s">
        <v>76</v>
      </c>
      <c r="B11" s="60"/>
      <c r="C11" s="60"/>
      <c r="D11" s="65">
        <v>1500.0</v>
      </c>
      <c r="E11" s="20" t="s">
        <v>63</v>
      </c>
      <c r="F11" s="73" t="s">
        <v>77</v>
      </c>
      <c r="G11" s="34"/>
    </row>
    <row r="12">
      <c r="A12" s="59" t="s">
        <v>78</v>
      </c>
      <c r="B12" s="60"/>
      <c r="C12" s="60"/>
      <c r="D12" s="65">
        <v>3000.0</v>
      </c>
      <c r="E12" s="68" t="s">
        <v>79</v>
      </c>
      <c r="G12" s="43"/>
    </row>
    <row r="13">
      <c r="A13" s="74"/>
      <c r="B13" s="60"/>
      <c r="C13" s="60"/>
      <c r="D13" s="75"/>
      <c r="E13" s="45" t="s">
        <v>80</v>
      </c>
      <c r="F13" s="45" t="s">
        <v>63</v>
      </c>
      <c r="G13" s="76" t="s">
        <v>81</v>
      </c>
    </row>
    <row r="14">
      <c r="A14" s="77" t="s">
        <v>82</v>
      </c>
      <c r="B14" s="78"/>
      <c r="C14" s="78"/>
      <c r="D14" s="79">
        <f>SUM(D4:D13)</f>
        <v>117650</v>
      </c>
      <c r="E14" s="45" t="s">
        <v>83</v>
      </c>
      <c r="F14" s="45" t="s">
        <v>71</v>
      </c>
      <c r="G14" s="76" t="s">
        <v>84</v>
      </c>
    </row>
    <row r="15">
      <c r="A15" s="80"/>
      <c r="B15" s="81"/>
      <c r="C15" s="81"/>
      <c r="D15" s="82"/>
      <c r="G15" s="43"/>
    </row>
    <row r="16">
      <c r="A16" s="83" t="s">
        <v>85</v>
      </c>
      <c r="B16" s="84"/>
      <c r="C16" s="84"/>
      <c r="D16" s="85"/>
      <c r="E16" s="68" t="s">
        <v>86</v>
      </c>
      <c r="F16" s="84"/>
      <c r="G16" s="58"/>
    </row>
    <row r="17">
      <c r="A17" s="86" t="s">
        <v>87</v>
      </c>
      <c r="D17" s="87">
        <v>14593.73</v>
      </c>
      <c r="E17" s="45" t="s">
        <v>54</v>
      </c>
      <c r="G17" s="88" t="s">
        <v>88</v>
      </c>
    </row>
    <row r="18">
      <c r="A18" s="89" t="s">
        <v>89</v>
      </c>
      <c r="D18" s="87">
        <v>14303.13</v>
      </c>
      <c r="E18" s="70" t="s">
        <v>90</v>
      </c>
      <c r="G18" s="90" t="s">
        <v>91</v>
      </c>
    </row>
    <row r="19">
      <c r="A19" s="89" t="s">
        <v>92</v>
      </c>
      <c r="D19" s="42">
        <v>14300.0</v>
      </c>
      <c r="E19" s="91" t="s">
        <v>93</v>
      </c>
      <c r="G19" s="43"/>
    </row>
    <row r="20">
      <c r="A20" s="89" t="s">
        <v>94</v>
      </c>
      <c r="D20" s="42">
        <v>3882.2</v>
      </c>
      <c r="E20" s="70" t="s">
        <v>63</v>
      </c>
      <c r="G20" s="88" t="s">
        <v>95</v>
      </c>
    </row>
    <row r="21">
      <c r="A21" s="89" t="s">
        <v>96</v>
      </c>
      <c r="D21" s="42">
        <v>2950.0</v>
      </c>
      <c r="E21" s="70" t="s">
        <v>97</v>
      </c>
      <c r="G21" s="88" t="s">
        <v>98</v>
      </c>
    </row>
    <row r="22">
      <c r="A22" s="89" t="s">
        <v>99</v>
      </c>
      <c r="D22" s="42">
        <v>2791.04</v>
      </c>
      <c r="E22" s="92" t="s">
        <v>100</v>
      </c>
      <c r="F22" s="21"/>
      <c r="G22" s="23"/>
    </row>
    <row r="23">
      <c r="A23" s="93" t="s">
        <v>101</v>
      </c>
      <c r="D23" s="42">
        <v>1212.0</v>
      </c>
      <c r="E23" s="94" t="s">
        <v>102</v>
      </c>
      <c r="G23" s="43"/>
    </row>
    <row r="24">
      <c r="A24" s="93" t="s">
        <v>103</v>
      </c>
      <c r="D24" s="42">
        <v>1190.0</v>
      </c>
      <c r="E24" s="95"/>
      <c r="G24" s="43"/>
    </row>
    <row r="25">
      <c r="A25" s="93" t="s">
        <v>104</v>
      </c>
      <c r="D25" s="42">
        <v>1141.18</v>
      </c>
      <c r="E25" s="95"/>
      <c r="G25" s="43"/>
    </row>
    <row r="26">
      <c r="A26" s="93" t="s">
        <v>105</v>
      </c>
      <c r="D26" s="42">
        <v>1075.97</v>
      </c>
      <c r="E26" s="95"/>
      <c r="G26" s="43"/>
    </row>
    <row r="27">
      <c r="A27" s="96" t="s">
        <v>106</v>
      </c>
      <c r="D27" s="42">
        <v>950.0</v>
      </c>
      <c r="E27" s="95"/>
      <c r="G27" s="43"/>
    </row>
    <row r="28">
      <c r="A28" s="95"/>
      <c r="D28" s="42"/>
      <c r="E28" s="36"/>
      <c r="F28" s="21"/>
      <c r="G28" s="23"/>
    </row>
    <row r="29">
      <c r="A29" s="97" t="s">
        <v>82</v>
      </c>
      <c r="B29" s="98"/>
      <c r="C29" s="98"/>
      <c r="D29" s="99">
        <f>SUM(D17:D28)</f>
        <v>58389.25</v>
      </c>
      <c r="E29" s="20" t="s">
        <v>107</v>
      </c>
      <c r="F29" s="21"/>
      <c r="G29" s="23"/>
    </row>
    <row r="30">
      <c r="A30" s="100" t="s">
        <v>108</v>
      </c>
      <c r="B30" s="101"/>
      <c r="C30" s="101"/>
      <c r="D30" s="102"/>
      <c r="E30" s="103" t="s">
        <v>109</v>
      </c>
      <c r="F30" s="104"/>
      <c r="G30" s="105">
        <v>44691.0</v>
      </c>
    </row>
    <row r="31">
      <c r="A31" s="106" t="s">
        <v>110</v>
      </c>
      <c r="B31" s="84"/>
      <c r="C31" s="84"/>
      <c r="D31" s="107">
        <v>10000.0</v>
      </c>
      <c r="E31" s="108" t="s">
        <v>111</v>
      </c>
      <c r="F31" s="109"/>
      <c r="G31" s="110" t="s">
        <v>112</v>
      </c>
    </row>
    <row r="32">
      <c r="A32" s="70" t="s">
        <v>113</v>
      </c>
      <c r="D32" s="111">
        <v>117650.0</v>
      </c>
      <c r="E32" s="110" t="s">
        <v>114</v>
      </c>
      <c r="F32" s="110" t="s">
        <v>115</v>
      </c>
      <c r="G32" s="110" t="s">
        <v>116</v>
      </c>
    </row>
    <row r="33">
      <c r="A33" s="70" t="s">
        <v>117</v>
      </c>
      <c r="D33" s="111">
        <v>58389.25</v>
      </c>
      <c r="E33" s="112"/>
      <c r="F33" s="110" t="s">
        <v>118</v>
      </c>
      <c r="G33" s="110" t="s">
        <v>119</v>
      </c>
    </row>
    <row r="34">
      <c r="A34" s="20" t="s">
        <v>120</v>
      </c>
      <c r="B34" s="21"/>
      <c r="C34" s="21"/>
      <c r="D34" s="28">
        <f>D31+D32-D33</f>
        <v>69260.75</v>
      </c>
      <c r="E34" s="103" t="s">
        <v>121</v>
      </c>
      <c r="F34" s="104"/>
      <c r="G34" s="113" t="s">
        <v>122</v>
      </c>
    </row>
    <row r="35">
      <c r="A35" s="1" t="s">
        <v>0</v>
      </c>
      <c r="B35" s="2"/>
      <c r="C35" s="2"/>
      <c r="D35" s="3">
        <v>44875.0</v>
      </c>
      <c r="E35" s="4">
        <v>0.3902777777777778</v>
      </c>
      <c r="F35" s="5" t="s">
        <v>1</v>
      </c>
      <c r="G35" s="6" t="s">
        <v>2</v>
      </c>
    </row>
    <row r="36">
      <c r="A36" s="7" t="s">
        <v>3</v>
      </c>
      <c r="B36" s="8"/>
      <c r="C36" s="9" t="s">
        <v>4</v>
      </c>
      <c r="D36" s="10" t="s">
        <v>5</v>
      </c>
      <c r="E36" s="8"/>
      <c r="F36" s="8"/>
      <c r="G36" s="11"/>
    </row>
    <row r="37">
      <c r="A37" s="12"/>
      <c r="B37" s="13"/>
      <c r="C37" s="13"/>
      <c r="D37" s="13"/>
      <c r="E37" s="13"/>
      <c r="F37" s="13"/>
      <c r="G37" s="14"/>
    </row>
    <row r="38">
      <c r="A38" s="15" t="s">
        <v>6</v>
      </c>
      <c r="B38" s="16"/>
      <c r="C38" s="16"/>
      <c r="D38" s="17"/>
      <c r="E38" s="16"/>
      <c r="F38" s="18"/>
      <c r="G38" s="19" t="s">
        <v>7</v>
      </c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20" t="s">
        <v>8</v>
      </c>
      <c r="B39" s="21"/>
      <c r="C39" s="21"/>
      <c r="D39" s="22"/>
      <c r="E39" s="21"/>
      <c r="F39" s="23"/>
      <c r="G39" s="24">
        <v>44691.0</v>
      </c>
    </row>
    <row r="40">
      <c r="A40" s="15" t="s">
        <v>9</v>
      </c>
      <c r="B40" s="25"/>
      <c r="C40" s="25"/>
      <c r="D40" s="26"/>
      <c r="E40" s="15" t="s">
        <v>10</v>
      </c>
      <c r="F40" s="27"/>
      <c r="G40" s="19" t="s">
        <v>11</v>
      </c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20" t="s">
        <v>12</v>
      </c>
      <c r="B41" s="21"/>
      <c r="C41" s="21"/>
      <c r="D41" s="28"/>
      <c r="E41" s="20" t="s">
        <v>13</v>
      </c>
      <c r="F41" s="23"/>
      <c r="G41" s="29" t="s">
        <v>14</v>
      </c>
    </row>
    <row r="42">
      <c r="A42" s="19" t="s">
        <v>15</v>
      </c>
      <c r="B42" s="19" t="s">
        <v>16</v>
      </c>
      <c r="C42" s="19" t="s">
        <v>17</v>
      </c>
      <c r="D42" s="30" t="s">
        <v>18</v>
      </c>
      <c r="E42" s="15" t="s">
        <v>19</v>
      </c>
      <c r="F42" s="27"/>
      <c r="G42" s="19" t="s">
        <v>20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24">
        <v>44685.0</v>
      </c>
      <c r="B43" s="31">
        <v>205230.0</v>
      </c>
      <c r="C43" s="29" t="s">
        <v>21</v>
      </c>
      <c r="D43" s="32" t="s">
        <v>22</v>
      </c>
      <c r="E43" s="33">
        <v>44685.0</v>
      </c>
      <c r="F43" s="23"/>
      <c r="G43" s="29" t="s">
        <v>23</v>
      </c>
    </row>
    <row r="44">
      <c r="A44" s="19" t="s">
        <v>24</v>
      </c>
      <c r="B44" s="19" t="s">
        <v>25</v>
      </c>
      <c r="C44" s="19" t="s">
        <v>26</v>
      </c>
      <c r="D44" s="30" t="s">
        <v>27</v>
      </c>
      <c r="E44" s="15" t="s">
        <v>28</v>
      </c>
      <c r="F44" s="27"/>
      <c r="G44" s="19" t="s">
        <v>29</v>
      </c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34"/>
      <c r="B45" s="31">
        <v>1.0</v>
      </c>
      <c r="C45" s="29" t="s">
        <v>30</v>
      </c>
      <c r="D45" s="35"/>
      <c r="E45" s="36"/>
      <c r="F45" s="23"/>
      <c r="G45" s="29" t="s">
        <v>31</v>
      </c>
    </row>
    <row r="46">
      <c r="A46" s="15" t="s">
        <v>32</v>
      </c>
      <c r="B46" s="16"/>
      <c r="C46" s="16"/>
      <c r="D46" s="17"/>
      <c r="E46" s="16"/>
      <c r="F46" s="18"/>
      <c r="G46" s="19" t="s">
        <v>33</v>
      </c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37" t="s">
        <v>34</v>
      </c>
      <c r="F47" s="38"/>
      <c r="G47" s="29" t="s">
        <v>35</v>
      </c>
    </row>
    <row r="48">
      <c r="A48" s="39"/>
      <c r="F48" s="38"/>
      <c r="G48" s="19" t="s">
        <v>36</v>
      </c>
    </row>
    <row r="49">
      <c r="A49" s="39"/>
      <c r="F49" s="38"/>
      <c r="G49" s="29" t="s">
        <v>35</v>
      </c>
    </row>
    <row r="50">
      <c r="A50" s="39"/>
      <c r="F50" s="38"/>
      <c r="G50" s="19" t="s">
        <v>37</v>
      </c>
    </row>
    <row r="51">
      <c r="A51" s="39"/>
      <c r="F51" s="38"/>
      <c r="G51" s="29" t="s">
        <v>35</v>
      </c>
    </row>
    <row r="52">
      <c r="A52" s="39"/>
      <c r="F52" s="38"/>
      <c r="G52" s="19" t="s">
        <v>38</v>
      </c>
    </row>
    <row r="53">
      <c r="A53" s="39"/>
      <c r="F53" s="38"/>
      <c r="G53" s="29" t="s">
        <v>35</v>
      </c>
    </row>
    <row r="54">
      <c r="A54" s="39"/>
      <c r="F54" s="38"/>
      <c r="G54" s="40" t="s">
        <v>39</v>
      </c>
    </row>
    <row r="55">
      <c r="A55" s="12"/>
      <c r="B55" s="13"/>
      <c r="C55" s="13"/>
      <c r="D55" s="13"/>
      <c r="E55" s="13"/>
      <c r="F55" s="14"/>
      <c r="G55" s="29" t="s">
        <v>31</v>
      </c>
    </row>
    <row r="56">
      <c r="A56" s="15" t="s">
        <v>40</v>
      </c>
      <c r="B56" s="16"/>
      <c r="C56" s="16"/>
      <c r="D56" s="17"/>
      <c r="E56" s="16"/>
      <c r="F56" s="16"/>
      <c r="G56" s="18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41" t="s">
        <v>41</v>
      </c>
      <c r="D57" s="42"/>
      <c r="G57" s="43"/>
    </row>
    <row r="58">
      <c r="A58" s="41" t="s">
        <v>42</v>
      </c>
      <c r="D58" s="42"/>
      <c r="G58" s="43"/>
    </row>
    <row r="59">
      <c r="A59" s="41" t="s">
        <v>43</v>
      </c>
      <c r="D59" s="42"/>
      <c r="G59" s="43"/>
    </row>
    <row r="60">
      <c r="A60" s="36"/>
      <c r="B60" s="21"/>
      <c r="C60" s="21"/>
      <c r="D60" s="22"/>
      <c r="E60" s="21"/>
      <c r="F60" s="21"/>
      <c r="G60" s="23"/>
    </row>
    <row r="61">
      <c r="D61" s="42"/>
      <c r="E61" s="44" t="s">
        <v>44</v>
      </c>
      <c r="F61" s="45" t="s">
        <v>45</v>
      </c>
    </row>
    <row r="62">
      <c r="D62" s="42"/>
    </row>
    <row r="63">
      <c r="D63" s="42"/>
    </row>
    <row r="69">
      <c r="A69" s="45" t="s">
        <v>123</v>
      </c>
    </row>
  </sheetData>
  <mergeCells count="6">
    <mergeCell ref="A1:B2"/>
    <mergeCell ref="F1:G2"/>
    <mergeCell ref="A36:B37"/>
    <mergeCell ref="C36:C37"/>
    <mergeCell ref="D36:G37"/>
    <mergeCell ref="A47:F55"/>
  </mergeCells>
  <hyperlinks>
    <hyperlink r:id="rId1" ref="E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88"/>
    <col customWidth="1" min="8" max="8" width="6.88"/>
  </cols>
  <sheetData>
    <row r="1">
      <c r="A1" s="53" t="s">
        <v>124</v>
      </c>
      <c r="B1" s="54"/>
      <c r="C1" s="54"/>
      <c r="D1" s="115"/>
      <c r="E1" s="116" t="s">
        <v>125</v>
      </c>
      <c r="F1" s="11"/>
      <c r="G1" s="117" t="s">
        <v>49</v>
      </c>
    </row>
    <row r="2">
      <c r="A2" s="59" t="s">
        <v>54</v>
      </c>
      <c r="B2" s="60"/>
      <c r="C2" s="60"/>
      <c r="D2" s="65">
        <v>80000.0</v>
      </c>
      <c r="E2" s="12"/>
      <c r="F2" s="14"/>
      <c r="G2" s="118" t="s">
        <v>50</v>
      </c>
    </row>
    <row r="3">
      <c r="A3" s="59" t="s">
        <v>57</v>
      </c>
      <c r="B3" s="60"/>
      <c r="C3" s="60"/>
      <c r="D3" s="65">
        <v>5000.0</v>
      </c>
      <c r="E3" s="119" t="s">
        <v>126</v>
      </c>
      <c r="F3" s="58"/>
      <c r="G3" s="120" t="s">
        <v>59</v>
      </c>
    </row>
    <row r="4">
      <c r="A4" s="59" t="s">
        <v>60</v>
      </c>
      <c r="B4" s="60"/>
      <c r="C4" s="60"/>
      <c r="D4" s="65">
        <v>20000.0</v>
      </c>
      <c r="E4" s="20" t="s">
        <v>61</v>
      </c>
      <c r="F4" s="23"/>
      <c r="G4" s="67" t="s">
        <v>62</v>
      </c>
    </row>
    <row r="5">
      <c r="A5" s="59" t="s">
        <v>63</v>
      </c>
      <c r="B5" s="60"/>
      <c r="C5" s="60"/>
      <c r="D5" s="65">
        <v>5000.0</v>
      </c>
      <c r="E5" s="68" t="s">
        <v>64</v>
      </c>
      <c r="F5" s="58"/>
      <c r="G5" s="69" t="s">
        <v>65</v>
      </c>
    </row>
    <row r="6">
      <c r="A6" s="59" t="s">
        <v>66</v>
      </c>
      <c r="B6" s="60"/>
      <c r="C6" s="60"/>
      <c r="D6" s="65">
        <v>550.0</v>
      </c>
      <c r="E6" s="70" t="s">
        <v>67</v>
      </c>
      <c r="F6" s="71" t="s">
        <v>68</v>
      </c>
      <c r="G6" s="69" t="s">
        <v>69</v>
      </c>
    </row>
    <row r="7">
      <c r="A7" s="59" t="s">
        <v>70</v>
      </c>
      <c r="B7" s="60"/>
      <c r="C7" s="60"/>
      <c r="D7" s="65">
        <v>600.0</v>
      </c>
      <c r="E7" s="70" t="s">
        <v>71</v>
      </c>
      <c r="F7" s="71" t="s">
        <v>72</v>
      </c>
      <c r="G7" s="72"/>
    </row>
    <row r="8">
      <c r="A8" s="59" t="s">
        <v>73</v>
      </c>
      <c r="B8" s="60"/>
      <c r="C8" s="60"/>
      <c r="D8" s="65">
        <v>2000.0</v>
      </c>
      <c r="E8" s="70" t="s">
        <v>74</v>
      </c>
      <c r="F8" s="45" t="s">
        <v>75</v>
      </c>
      <c r="G8" s="72"/>
    </row>
    <row r="9">
      <c r="A9" s="59" t="s">
        <v>76</v>
      </c>
      <c r="B9" s="60"/>
      <c r="C9" s="60"/>
      <c r="D9" s="65">
        <v>1500.0</v>
      </c>
      <c r="E9" s="20" t="s">
        <v>63</v>
      </c>
      <c r="F9" s="73" t="s">
        <v>77</v>
      </c>
      <c r="G9" s="34"/>
      <c r="H9" s="45" t="s">
        <v>127</v>
      </c>
    </row>
    <row r="10">
      <c r="A10" s="59" t="s">
        <v>78</v>
      </c>
      <c r="B10" s="60"/>
      <c r="C10" s="60"/>
      <c r="D10" s="65">
        <v>3000.0</v>
      </c>
      <c r="E10" s="68" t="s">
        <v>86</v>
      </c>
      <c r="F10" s="84"/>
      <c r="G10" s="58"/>
    </row>
    <row r="11">
      <c r="A11" s="74"/>
      <c r="B11" s="60"/>
      <c r="C11" s="60"/>
      <c r="D11" s="75"/>
      <c r="E11" s="45" t="s">
        <v>54</v>
      </c>
      <c r="G11" s="88" t="s">
        <v>88</v>
      </c>
    </row>
    <row r="12">
      <c r="A12" s="77" t="s">
        <v>82</v>
      </c>
      <c r="B12" s="78"/>
      <c r="C12" s="78"/>
      <c r="D12" s="79">
        <f>SUM(D2:D11)</f>
        <v>117650</v>
      </c>
      <c r="E12" s="70" t="s">
        <v>90</v>
      </c>
      <c r="G12" s="90" t="s">
        <v>91</v>
      </c>
    </row>
    <row r="13">
      <c r="A13" s="80"/>
      <c r="B13" s="81"/>
      <c r="C13" s="81"/>
      <c r="D13" s="82"/>
      <c r="E13" s="91" t="s">
        <v>93</v>
      </c>
      <c r="G13" s="43"/>
    </row>
    <row r="14">
      <c r="A14" s="83" t="s">
        <v>128</v>
      </c>
      <c r="B14" s="84"/>
      <c r="C14" s="84"/>
      <c r="D14" s="85"/>
      <c r="E14" s="70" t="s">
        <v>63</v>
      </c>
      <c r="G14" s="88" t="s">
        <v>95</v>
      </c>
    </row>
    <row r="15">
      <c r="A15" s="86" t="s">
        <v>87</v>
      </c>
      <c r="D15" s="87">
        <v>14593.73</v>
      </c>
      <c r="E15" s="70" t="s">
        <v>97</v>
      </c>
      <c r="G15" s="88" t="s">
        <v>98</v>
      </c>
    </row>
    <row r="16">
      <c r="A16" s="89" t="s">
        <v>89</v>
      </c>
      <c r="D16" s="87">
        <v>14303.13</v>
      </c>
      <c r="E16" s="91" t="s">
        <v>100</v>
      </c>
      <c r="G16" s="43"/>
      <c r="H16" s="45" t="s">
        <v>127</v>
      </c>
    </row>
    <row r="17">
      <c r="A17" s="89" t="s">
        <v>92</v>
      </c>
      <c r="D17" s="42">
        <v>14300.0</v>
      </c>
      <c r="E17" s="94" t="s">
        <v>102</v>
      </c>
      <c r="F17" s="84"/>
      <c r="G17" s="58"/>
    </row>
    <row r="18">
      <c r="A18" s="89" t="s">
        <v>94</v>
      </c>
      <c r="D18" s="42">
        <v>3882.2</v>
      </c>
      <c r="E18" s="95"/>
      <c r="G18" s="43"/>
    </row>
    <row r="19">
      <c r="A19" s="89" t="s">
        <v>96</v>
      </c>
      <c r="D19" s="42">
        <v>2950.0</v>
      </c>
      <c r="E19" s="95"/>
      <c r="G19" s="43"/>
    </row>
    <row r="20">
      <c r="A20" s="89" t="s">
        <v>99</v>
      </c>
      <c r="D20" s="42">
        <v>2791.04</v>
      </c>
      <c r="E20" s="95"/>
      <c r="G20" s="43"/>
    </row>
    <row r="21">
      <c r="A21" s="93" t="s">
        <v>101</v>
      </c>
      <c r="D21" s="42">
        <v>1212.0</v>
      </c>
      <c r="E21" s="95"/>
      <c r="G21" s="43"/>
    </row>
    <row r="22">
      <c r="A22" s="93" t="s">
        <v>103</v>
      </c>
      <c r="D22" s="42">
        <v>1190.0</v>
      </c>
      <c r="E22" s="95"/>
      <c r="G22" s="43"/>
    </row>
    <row r="23">
      <c r="A23" s="93" t="s">
        <v>104</v>
      </c>
      <c r="D23" s="42">
        <v>1141.18</v>
      </c>
      <c r="E23" s="95"/>
      <c r="G23" s="43"/>
    </row>
    <row r="24">
      <c r="A24" s="93" t="s">
        <v>105</v>
      </c>
      <c r="D24" s="42">
        <v>1075.97</v>
      </c>
      <c r="E24" s="95"/>
      <c r="G24" s="43"/>
    </row>
    <row r="25">
      <c r="A25" s="96" t="s">
        <v>106</v>
      </c>
      <c r="D25" s="42">
        <v>950.0</v>
      </c>
      <c r="E25" s="95"/>
      <c r="G25" s="43"/>
    </row>
    <row r="26">
      <c r="A26" s="95"/>
      <c r="D26" s="42"/>
      <c r="E26" s="36"/>
      <c r="F26" s="21"/>
      <c r="G26" s="23"/>
    </row>
    <row r="27">
      <c r="A27" s="97" t="s">
        <v>82</v>
      </c>
      <c r="B27" s="98"/>
      <c r="C27" s="98"/>
      <c r="D27" s="99">
        <f>SUM(D15:D26)</f>
        <v>58389.25</v>
      </c>
      <c r="E27" s="20" t="s">
        <v>129</v>
      </c>
      <c r="F27" s="21"/>
      <c r="G27" s="23"/>
    </row>
    <row r="28">
      <c r="A28" s="100" t="s">
        <v>108</v>
      </c>
      <c r="B28" s="101"/>
      <c r="C28" s="101"/>
      <c r="D28" s="102"/>
      <c r="E28" s="103" t="s">
        <v>109</v>
      </c>
      <c r="F28" s="104"/>
      <c r="G28" s="121">
        <v>44691.0</v>
      </c>
    </row>
    <row r="29">
      <c r="A29" s="106" t="s">
        <v>110</v>
      </c>
      <c r="B29" s="84"/>
      <c r="C29" s="84"/>
      <c r="D29" s="107">
        <v>10000.0</v>
      </c>
      <c r="E29" s="122" t="s">
        <v>111</v>
      </c>
      <c r="F29" s="123"/>
      <c r="G29" s="124" t="s">
        <v>112</v>
      </c>
    </row>
    <row r="30">
      <c r="A30" s="70" t="s">
        <v>113</v>
      </c>
      <c r="D30" s="111">
        <v>117650.0</v>
      </c>
      <c r="E30" s="124" t="s">
        <v>114</v>
      </c>
      <c r="F30" s="124" t="s">
        <v>115</v>
      </c>
      <c r="G30" s="124" t="s">
        <v>116</v>
      </c>
    </row>
    <row r="31">
      <c r="A31" s="70" t="s">
        <v>117</v>
      </c>
      <c r="D31" s="111">
        <v>58389.25</v>
      </c>
      <c r="F31" s="124" t="s">
        <v>118</v>
      </c>
      <c r="G31" s="124" t="s">
        <v>119</v>
      </c>
    </row>
    <row r="32">
      <c r="A32" s="20" t="s">
        <v>120</v>
      </c>
      <c r="B32" s="21"/>
      <c r="C32" s="21"/>
      <c r="D32" s="28">
        <f>D29+D30-D31</f>
        <v>69260.75</v>
      </c>
      <c r="E32" s="103" t="s">
        <v>121</v>
      </c>
      <c r="F32" s="104"/>
      <c r="G32" s="113" t="s">
        <v>122</v>
      </c>
    </row>
    <row r="33">
      <c r="A33" s="1" t="s">
        <v>0</v>
      </c>
      <c r="B33" s="2"/>
      <c r="C33" s="2"/>
      <c r="D33" s="3">
        <v>44875.0</v>
      </c>
      <c r="E33" s="4">
        <v>0.3902777777777778</v>
      </c>
      <c r="F33" s="5" t="s">
        <v>1</v>
      </c>
      <c r="G33" s="6" t="s">
        <v>2</v>
      </c>
    </row>
    <row r="34">
      <c r="A34" s="7" t="s">
        <v>3</v>
      </c>
      <c r="B34" s="8"/>
      <c r="C34" s="9" t="s">
        <v>4</v>
      </c>
      <c r="D34" s="10" t="s">
        <v>5</v>
      </c>
      <c r="E34" s="8"/>
      <c r="F34" s="8"/>
      <c r="G34" s="11"/>
    </row>
    <row r="35">
      <c r="A35" s="12"/>
      <c r="B35" s="13"/>
      <c r="C35" s="13"/>
      <c r="D35" s="13"/>
      <c r="E35" s="13"/>
      <c r="F35" s="13"/>
      <c r="G35" s="14"/>
    </row>
    <row r="36" ht="9.75" customHeight="1">
      <c r="A36" s="125" t="s">
        <v>6</v>
      </c>
      <c r="B36" s="84"/>
      <c r="C36" s="84"/>
      <c r="D36" s="126"/>
      <c r="E36" s="84"/>
      <c r="F36" s="58"/>
      <c r="G36" s="127" t="s">
        <v>7</v>
      </c>
    </row>
    <row r="37">
      <c r="A37" s="20" t="s">
        <v>8</v>
      </c>
      <c r="B37" s="21"/>
      <c r="C37" s="21"/>
      <c r="D37" s="22"/>
      <c r="E37" s="21"/>
      <c r="F37" s="23"/>
      <c r="G37" s="24">
        <v>44691.0</v>
      </c>
    </row>
    <row r="38" ht="9.75" customHeight="1">
      <c r="A38" s="125" t="s">
        <v>9</v>
      </c>
      <c r="B38" s="128"/>
      <c r="C38" s="128"/>
      <c r="D38" s="129"/>
      <c r="E38" s="125" t="s">
        <v>10</v>
      </c>
      <c r="F38" s="130"/>
      <c r="G38" s="127" t="s">
        <v>11</v>
      </c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>
      <c r="A39" s="20" t="s">
        <v>12</v>
      </c>
      <c r="B39" s="21"/>
      <c r="C39" s="21"/>
      <c r="D39" s="28"/>
      <c r="E39" s="20" t="s">
        <v>13</v>
      </c>
      <c r="F39" s="23"/>
      <c r="G39" s="29" t="s">
        <v>14</v>
      </c>
    </row>
    <row r="40" ht="9.75" customHeight="1">
      <c r="A40" s="127" t="s">
        <v>15</v>
      </c>
      <c r="B40" s="127" t="s">
        <v>16</v>
      </c>
      <c r="C40" s="127" t="s">
        <v>17</v>
      </c>
      <c r="D40" s="132" t="s">
        <v>18</v>
      </c>
      <c r="E40" s="125" t="s">
        <v>19</v>
      </c>
      <c r="F40" s="130"/>
      <c r="G40" s="127" t="s">
        <v>20</v>
      </c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>
      <c r="A41" s="24">
        <v>44685.0</v>
      </c>
      <c r="B41" s="31">
        <v>205230.0</v>
      </c>
      <c r="C41" s="29" t="s">
        <v>21</v>
      </c>
      <c r="D41" s="32" t="s">
        <v>22</v>
      </c>
      <c r="E41" s="33">
        <v>44685.0</v>
      </c>
      <c r="F41" s="23"/>
      <c r="G41" s="29" t="s">
        <v>23</v>
      </c>
    </row>
    <row r="42" ht="9.75" customHeight="1">
      <c r="A42" s="127" t="s">
        <v>24</v>
      </c>
      <c r="B42" s="127" t="s">
        <v>25</v>
      </c>
      <c r="C42" s="127" t="s">
        <v>26</v>
      </c>
      <c r="D42" s="132" t="s">
        <v>27</v>
      </c>
      <c r="E42" s="125" t="s">
        <v>28</v>
      </c>
      <c r="F42" s="130"/>
      <c r="G42" s="127" t="s">
        <v>29</v>
      </c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>
      <c r="A43" s="34"/>
      <c r="B43" s="31">
        <v>1.0</v>
      </c>
      <c r="C43" s="29" t="s">
        <v>30</v>
      </c>
      <c r="D43" s="35"/>
      <c r="E43" s="36"/>
      <c r="F43" s="23"/>
      <c r="G43" s="29" t="s">
        <v>31</v>
      </c>
    </row>
    <row r="44" ht="9.75" customHeight="1">
      <c r="A44" s="125" t="s">
        <v>32</v>
      </c>
      <c r="B44" s="84"/>
      <c r="C44" s="84"/>
      <c r="D44" s="126"/>
      <c r="E44" s="84"/>
      <c r="F44" s="58"/>
      <c r="G44" s="127" t="s">
        <v>33</v>
      </c>
    </row>
    <row r="45">
      <c r="A45" s="37" t="s">
        <v>34</v>
      </c>
      <c r="F45" s="38"/>
      <c r="G45" s="29" t="s">
        <v>35</v>
      </c>
    </row>
    <row r="46" ht="10.5" customHeight="1">
      <c r="A46" s="39"/>
      <c r="F46" s="38"/>
      <c r="G46" s="127" t="s">
        <v>36</v>
      </c>
    </row>
    <row r="47">
      <c r="A47" s="39"/>
      <c r="F47" s="38"/>
      <c r="G47" s="29" t="s">
        <v>35</v>
      </c>
    </row>
    <row r="48" ht="9.0" customHeight="1">
      <c r="A48" s="39"/>
      <c r="F48" s="38"/>
      <c r="G48" s="127" t="s">
        <v>37</v>
      </c>
    </row>
    <row r="49">
      <c r="A49" s="39"/>
      <c r="F49" s="38"/>
      <c r="G49" s="29" t="s">
        <v>35</v>
      </c>
    </row>
    <row r="50" ht="9.0" customHeight="1">
      <c r="A50" s="39"/>
      <c r="F50" s="38"/>
      <c r="G50" s="127" t="s">
        <v>38</v>
      </c>
    </row>
    <row r="51">
      <c r="A51" s="39"/>
      <c r="F51" s="38"/>
      <c r="G51" s="29" t="s">
        <v>35</v>
      </c>
    </row>
    <row r="52" ht="9.0" customHeight="1">
      <c r="A52" s="39"/>
      <c r="F52" s="38"/>
      <c r="G52" s="133" t="s">
        <v>39</v>
      </c>
    </row>
    <row r="53">
      <c r="A53" s="12"/>
      <c r="B53" s="13"/>
      <c r="C53" s="13"/>
      <c r="D53" s="13"/>
      <c r="E53" s="13"/>
      <c r="F53" s="14"/>
      <c r="G53" s="29" t="s">
        <v>31</v>
      </c>
    </row>
    <row r="54" ht="8.25" customHeight="1">
      <c r="A54" s="125" t="s">
        <v>40</v>
      </c>
      <c r="B54" s="84"/>
      <c r="C54" s="84"/>
      <c r="D54" s="126"/>
      <c r="E54" s="84"/>
      <c r="F54" s="84"/>
      <c r="G54" s="58"/>
    </row>
    <row r="55">
      <c r="A55" s="41" t="s">
        <v>41</v>
      </c>
      <c r="D55" s="42"/>
      <c r="G55" s="43"/>
    </row>
    <row r="56">
      <c r="A56" s="41" t="s">
        <v>42</v>
      </c>
      <c r="D56" s="42"/>
      <c r="G56" s="43"/>
    </row>
    <row r="57">
      <c r="A57" s="41" t="s">
        <v>43</v>
      </c>
      <c r="D57" s="42"/>
      <c r="G57" s="43"/>
    </row>
    <row r="58">
      <c r="A58" s="36"/>
      <c r="B58" s="21"/>
      <c r="C58" s="21"/>
      <c r="D58" s="22"/>
      <c r="E58" s="21"/>
      <c r="F58" s="21"/>
      <c r="G58" s="23"/>
    </row>
    <row r="59" ht="15.75" customHeight="1">
      <c r="D59" s="42"/>
      <c r="E59" s="44" t="s">
        <v>44</v>
      </c>
      <c r="F59" s="45" t="s">
        <v>45</v>
      </c>
    </row>
    <row r="60">
      <c r="D60" s="42"/>
    </row>
    <row r="61">
      <c r="D61" s="42"/>
    </row>
    <row r="62">
      <c r="D62" s="42"/>
    </row>
    <row r="63">
      <c r="D63" s="42"/>
    </row>
    <row r="64">
      <c r="D64" s="42"/>
    </row>
    <row r="65">
      <c r="D65" s="42"/>
    </row>
    <row r="66">
      <c r="D66" s="42"/>
    </row>
    <row r="67">
      <c r="D67" s="42"/>
    </row>
    <row r="68">
      <c r="D68" s="42"/>
    </row>
    <row r="69">
      <c r="D69" s="42"/>
    </row>
    <row r="70">
      <c r="D70" s="42"/>
    </row>
    <row r="71">
      <c r="D71" s="42"/>
    </row>
    <row r="72">
      <c r="D72" s="42"/>
    </row>
    <row r="73">
      <c r="D73" s="42"/>
    </row>
    <row r="74">
      <c r="D74" s="42"/>
    </row>
    <row r="75">
      <c r="D75" s="42"/>
    </row>
    <row r="76">
      <c r="D76" s="42"/>
    </row>
    <row r="77">
      <c r="D77" s="42"/>
    </row>
    <row r="78">
      <c r="D78" s="42"/>
    </row>
    <row r="79">
      <c r="D79" s="42"/>
    </row>
    <row r="80">
      <c r="D80" s="42"/>
    </row>
    <row r="81">
      <c r="D81" s="42"/>
    </row>
    <row r="82">
      <c r="D82" s="42"/>
    </row>
    <row r="83">
      <c r="D83" s="42"/>
    </row>
    <row r="84">
      <c r="D84" s="42"/>
    </row>
    <row r="85">
      <c r="D85" s="42"/>
    </row>
    <row r="86">
      <c r="D86" s="42"/>
    </row>
    <row r="87">
      <c r="D87" s="42"/>
    </row>
    <row r="88">
      <c r="D88" s="42"/>
    </row>
    <row r="89">
      <c r="D89" s="42"/>
    </row>
    <row r="90">
      <c r="D90" s="42"/>
    </row>
    <row r="91">
      <c r="D91" s="42"/>
    </row>
    <row r="92">
      <c r="D92" s="42"/>
    </row>
    <row r="93">
      <c r="D93" s="42"/>
    </row>
    <row r="94">
      <c r="D94" s="42"/>
    </row>
    <row r="95">
      <c r="D95" s="42"/>
    </row>
    <row r="96">
      <c r="D96" s="42"/>
    </row>
    <row r="97">
      <c r="D97" s="42"/>
    </row>
    <row r="98">
      <c r="D98" s="42"/>
    </row>
    <row r="99">
      <c r="D99" s="42"/>
    </row>
    <row r="100">
      <c r="D100" s="42"/>
    </row>
    <row r="101">
      <c r="D101" s="42"/>
    </row>
    <row r="102">
      <c r="D102" s="42"/>
    </row>
    <row r="103">
      <c r="D103" s="42"/>
    </row>
    <row r="104">
      <c r="D104" s="42"/>
    </row>
    <row r="105">
      <c r="D105" s="42"/>
    </row>
    <row r="106">
      <c r="D106" s="42"/>
    </row>
    <row r="107">
      <c r="D107" s="42"/>
    </row>
    <row r="108">
      <c r="D108" s="42"/>
    </row>
    <row r="109">
      <c r="D109" s="42"/>
    </row>
    <row r="110">
      <c r="D110" s="42"/>
    </row>
    <row r="111">
      <c r="D111" s="42"/>
    </row>
    <row r="112">
      <c r="D112" s="42"/>
    </row>
    <row r="113">
      <c r="D113" s="42"/>
    </row>
    <row r="114">
      <c r="D114" s="42"/>
    </row>
    <row r="115">
      <c r="D115" s="42"/>
    </row>
    <row r="116">
      <c r="D116" s="42"/>
    </row>
    <row r="117">
      <c r="D117" s="42"/>
    </row>
    <row r="118">
      <c r="D118" s="42"/>
    </row>
    <row r="119">
      <c r="D119" s="42"/>
    </row>
    <row r="120">
      <c r="D120" s="42"/>
    </row>
    <row r="121">
      <c r="D121" s="42"/>
    </row>
    <row r="122">
      <c r="D122" s="42"/>
    </row>
    <row r="123">
      <c r="D123" s="42"/>
    </row>
    <row r="124">
      <c r="D124" s="42"/>
    </row>
    <row r="125">
      <c r="D125" s="42"/>
    </row>
    <row r="126">
      <c r="D126" s="42"/>
    </row>
    <row r="127">
      <c r="D127" s="42"/>
    </row>
    <row r="128">
      <c r="D128" s="42"/>
    </row>
    <row r="129">
      <c r="D129" s="42"/>
    </row>
    <row r="130">
      <c r="D130" s="42"/>
    </row>
    <row r="131">
      <c r="D131" s="42"/>
    </row>
    <row r="132">
      <c r="D132" s="42"/>
    </row>
    <row r="133">
      <c r="D133" s="42"/>
    </row>
    <row r="134">
      <c r="D134" s="42"/>
    </row>
    <row r="135">
      <c r="D135" s="42"/>
    </row>
    <row r="136">
      <c r="D136" s="42"/>
    </row>
    <row r="137">
      <c r="D137" s="42"/>
    </row>
    <row r="138">
      <c r="D138" s="42"/>
    </row>
    <row r="139">
      <c r="D139" s="42"/>
    </row>
    <row r="140">
      <c r="D140" s="42"/>
    </row>
    <row r="141">
      <c r="D141" s="42"/>
    </row>
    <row r="142">
      <c r="D142" s="42"/>
    </row>
    <row r="143">
      <c r="D143" s="42"/>
    </row>
    <row r="144">
      <c r="D144" s="42"/>
    </row>
    <row r="145">
      <c r="D145" s="42"/>
    </row>
    <row r="146">
      <c r="D146" s="42"/>
    </row>
    <row r="147">
      <c r="D147" s="42"/>
    </row>
    <row r="148">
      <c r="D148" s="42"/>
    </row>
    <row r="149">
      <c r="D149" s="42"/>
    </row>
    <row r="150">
      <c r="D150" s="42"/>
    </row>
    <row r="151">
      <c r="D151" s="42"/>
    </row>
    <row r="152">
      <c r="D152" s="42"/>
    </row>
    <row r="153">
      <c r="D153" s="42"/>
    </row>
    <row r="154">
      <c r="D154" s="42"/>
    </row>
    <row r="155">
      <c r="D155" s="42"/>
    </row>
    <row r="156">
      <c r="D156" s="42"/>
    </row>
    <row r="157">
      <c r="D157" s="42"/>
    </row>
    <row r="158">
      <c r="D158" s="42"/>
    </row>
    <row r="159">
      <c r="D159" s="42"/>
    </row>
    <row r="160">
      <c r="D160" s="42"/>
    </row>
    <row r="161">
      <c r="D161" s="42"/>
    </row>
    <row r="162">
      <c r="D162" s="42"/>
    </row>
    <row r="163">
      <c r="D163" s="42"/>
    </row>
    <row r="164">
      <c r="D164" s="42"/>
    </row>
    <row r="165">
      <c r="D165" s="42"/>
    </row>
    <row r="166">
      <c r="D166" s="42"/>
    </row>
    <row r="167">
      <c r="D167" s="42"/>
    </row>
    <row r="168">
      <c r="D168" s="42"/>
    </row>
    <row r="169">
      <c r="D169" s="42"/>
    </row>
    <row r="170">
      <c r="D170" s="42"/>
    </row>
    <row r="171">
      <c r="D171" s="42"/>
    </row>
    <row r="172">
      <c r="D172" s="42"/>
    </row>
    <row r="173">
      <c r="D173" s="42"/>
    </row>
    <row r="174">
      <c r="D174" s="42"/>
    </row>
    <row r="175">
      <c r="D175" s="42"/>
    </row>
    <row r="176">
      <c r="D176" s="42"/>
    </row>
    <row r="177">
      <c r="D177" s="42"/>
    </row>
    <row r="178">
      <c r="D178" s="42"/>
    </row>
    <row r="179">
      <c r="D179" s="42"/>
    </row>
    <row r="180">
      <c r="D180" s="42"/>
    </row>
    <row r="181">
      <c r="D181" s="42"/>
    </row>
    <row r="182">
      <c r="D182" s="42"/>
    </row>
    <row r="183">
      <c r="D183" s="42"/>
    </row>
    <row r="184">
      <c r="D184" s="42"/>
    </row>
    <row r="185">
      <c r="D185" s="42"/>
    </row>
    <row r="186">
      <c r="D186" s="42"/>
    </row>
    <row r="187">
      <c r="D187" s="42"/>
    </row>
    <row r="188">
      <c r="D188" s="42"/>
    </row>
    <row r="189">
      <c r="D189" s="42"/>
    </row>
    <row r="190">
      <c r="D190" s="42"/>
    </row>
    <row r="191">
      <c r="D191" s="42"/>
    </row>
    <row r="192">
      <c r="D192" s="42"/>
    </row>
    <row r="193">
      <c r="D193" s="42"/>
    </row>
    <row r="194">
      <c r="D194" s="42"/>
    </row>
    <row r="195">
      <c r="D195" s="42"/>
    </row>
    <row r="196">
      <c r="D196" s="42"/>
    </row>
    <row r="197">
      <c r="D197" s="42"/>
    </row>
    <row r="198">
      <c r="D198" s="42"/>
    </row>
    <row r="199">
      <c r="D199" s="42"/>
    </row>
    <row r="200">
      <c r="D200" s="42"/>
    </row>
    <row r="201">
      <c r="D201" s="42"/>
    </row>
    <row r="202">
      <c r="D202" s="42"/>
    </row>
    <row r="203">
      <c r="D203" s="42"/>
    </row>
    <row r="204">
      <c r="D204" s="42"/>
    </row>
    <row r="205">
      <c r="D205" s="42"/>
    </row>
    <row r="206">
      <c r="D206" s="42"/>
    </row>
    <row r="207">
      <c r="D207" s="42"/>
    </row>
    <row r="208">
      <c r="D208" s="42"/>
    </row>
    <row r="209">
      <c r="D209" s="42"/>
    </row>
    <row r="210">
      <c r="D210" s="42"/>
    </row>
    <row r="211">
      <c r="D211" s="42"/>
    </row>
    <row r="212">
      <c r="D212" s="42"/>
    </row>
    <row r="213">
      <c r="D213" s="42"/>
    </row>
    <row r="214">
      <c r="D214" s="42"/>
    </row>
    <row r="215">
      <c r="D215" s="42"/>
    </row>
    <row r="216">
      <c r="D216" s="42"/>
    </row>
    <row r="217">
      <c r="D217" s="42"/>
    </row>
    <row r="218">
      <c r="D218" s="42"/>
    </row>
    <row r="219">
      <c r="D219" s="42"/>
    </row>
    <row r="220">
      <c r="D220" s="42"/>
    </row>
    <row r="221">
      <c r="D221" s="42"/>
    </row>
    <row r="222">
      <c r="D222" s="42"/>
    </row>
    <row r="223">
      <c r="D223" s="42"/>
    </row>
    <row r="224">
      <c r="D224" s="42"/>
    </row>
    <row r="225">
      <c r="D225" s="42"/>
    </row>
    <row r="226">
      <c r="D226" s="42"/>
    </row>
    <row r="227">
      <c r="D227" s="42"/>
    </row>
    <row r="228">
      <c r="D228" s="42"/>
    </row>
    <row r="229">
      <c r="D229" s="42"/>
    </row>
    <row r="230">
      <c r="D230" s="42"/>
    </row>
    <row r="231">
      <c r="D231" s="42"/>
    </row>
    <row r="232">
      <c r="D232" s="42"/>
    </row>
    <row r="233">
      <c r="D233" s="42"/>
    </row>
    <row r="234">
      <c r="D234" s="42"/>
    </row>
    <row r="235">
      <c r="D235" s="42"/>
    </row>
    <row r="236">
      <c r="D236" s="42"/>
    </row>
    <row r="237">
      <c r="D237" s="42"/>
    </row>
    <row r="238">
      <c r="D238" s="42"/>
    </row>
    <row r="239">
      <c r="D239" s="42"/>
    </row>
    <row r="240">
      <c r="D240" s="42"/>
    </row>
    <row r="241">
      <c r="D241" s="42"/>
    </row>
    <row r="242">
      <c r="D242" s="42"/>
    </row>
    <row r="243">
      <c r="D243" s="42"/>
    </row>
    <row r="244">
      <c r="D244" s="42"/>
    </row>
    <row r="245">
      <c r="D245" s="42"/>
    </row>
    <row r="246">
      <c r="D246" s="42"/>
    </row>
    <row r="247">
      <c r="D247" s="42"/>
    </row>
    <row r="248">
      <c r="D248" s="42"/>
    </row>
    <row r="249">
      <c r="D249" s="42"/>
    </row>
    <row r="250">
      <c r="D250" s="42"/>
    </row>
    <row r="251">
      <c r="D251" s="42"/>
    </row>
    <row r="252">
      <c r="D252" s="42"/>
    </row>
    <row r="253">
      <c r="D253" s="42"/>
    </row>
    <row r="254">
      <c r="D254" s="42"/>
    </row>
    <row r="255">
      <c r="D255" s="42"/>
    </row>
    <row r="256">
      <c r="D256" s="42"/>
    </row>
    <row r="257">
      <c r="D257" s="42"/>
    </row>
    <row r="258">
      <c r="D258" s="42"/>
    </row>
    <row r="259">
      <c r="D259" s="42"/>
    </row>
    <row r="260">
      <c r="D260" s="42"/>
    </row>
    <row r="261">
      <c r="D261" s="42"/>
    </row>
    <row r="262">
      <c r="D262" s="42"/>
    </row>
    <row r="263">
      <c r="D263" s="42"/>
    </row>
    <row r="264">
      <c r="D264" s="42"/>
    </row>
    <row r="265">
      <c r="D265" s="42"/>
    </row>
    <row r="266">
      <c r="D266" s="42"/>
    </row>
    <row r="267">
      <c r="D267" s="42"/>
    </row>
    <row r="268">
      <c r="D268" s="42"/>
    </row>
    <row r="269">
      <c r="D269" s="42"/>
    </row>
    <row r="270">
      <c r="D270" s="42"/>
    </row>
    <row r="271">
      <c r="D271" s="42"/>
    </row>
    <row r="272">
      <c r="D272" s="42"/>
    </row>
    <row r="273">
      <c r="D273" s="42"/>
    </row>
    <row r="274">
      <c r="D274" s="42"/>
    </row>
    <row r="275">
      <c r="D275" s="42"/>
    </row>
    <row r="276">
      <c r="D276" s="42"/>
    </row>
    <row r="277">
      <c r="D277" s="42"/>
    </row>
    <row r="278">
      <c r="D278" s="42"/>
    </row>
    <row r="279">
      <c r="D279" s="42"/>
    </row>
    <row r="280">
      <c r="D280" s="42"/>
    </row>
    <row r="281">
      <c r="D281" s="42"/>
    </row>
    <row r="282">
      <c r="D282" s="42"/>
    </row>
    <row r="283">
      <c r="D283" s="42"/>
    </row>
    <row r="284">
      <c r="D284" s="42"/>
    </row>
    <row r="285">
      <c r="D285" s="42"/>
    </row>
    <row r="286">
      <c r="D286" s="42"/>
    </row>
    <row r="287">
      <c r="D287" s="42"/>
    </row>
    <row r="288">
      <c r="D288" s="42"/>
    </row>
    <row r="289">
      <c r="D289" s="42"/>
    </row>
    <row r="290">
      <c r="D290" s="42"/>
    </row>
    <row r="291">
      <c r="D291" s="42"/>
    </row>
    <row r="292">
      <c r="D292" s="42"/>
    </row>
    <row r="293">
      <c r="D293" s="42"/>
    </row>
    <row r="294">
      <c r="D294" s="42"/>
    </row>
    <row r="295">
      <c r="D295" s="42"/>
    </row>
    <row r="296">
      <c r="D296" s="42"/>
    </row>
    <row r="297">
      <c r="D297" s="42"/>
    </row>
    <row r="298">
      <c r="D298" s="42"/>
    </row>
    <row r="299">
      <c r="D299" s="42"/>
    </row>
    <row r="300">
      <c r="D300" s="42"/>
    </row>
    <row r="301">
      <c r="D301" s="42"/>
    </row>
    <row r="302">
      <c r="D302" s="42"/>
    </row>
    <row r="303">
      <c r="D303" s="4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  <row r="969">
      <c r="D969" s="42"/>
    </row>
    <row r="970">
      <c r="D970" s="42"/>
    </row>
    <row r="971">
      <c r="D971" s="42"/>
    </row>
    <row r="972">
      <c r="D972" s="42"/>
    </row>
    <row r="973">
      <c r="D973" s="42"/>
    </row>
    <row r="974">
      <c r="D974" s="42"/>
    </row>
    <row r="975">
      <c r="D975" s="42"/>
    </row>
    <row r="976">
      <c r="D976" s="42"/>
    </row>
    <row r="977">
      <c r="D977" s="42"/>
    </row>
    <row r="978">
      <c r="D978" s="42"/>
    </row>
    <row r="979">
      <c r="D979" s="42"/>
    </row>
    <row r="980">
      <c r="D980" s="42"/>
    </row>
    <row r="981">
      <c r="D981" s="42"/>
    </row>
    <row r="982">
      <c r="D982" s="42"/>
    </row>
    <row r="983">
      <c r="D983" s="42"/>
    </row>
    <row r="984">
      <c r="D984" s="42"/>
    </row>
    <row r="985">
      <c r="D985" s="42"/>
    </row>
    <row r="986">
      <c r="D986" s="42"/>
    </row>
    <row r="987">
      <c r="D987" s="42"/>
    </row>
    <row r="988">
      <c r="D988" s="42"/>
    </row>
    <row r="989">
      <c r="D989" s="42"/>
    </row>
    <row r="990">
      <c r="D990" s="42"/>
    </row>
    <row r="991">
      <c r="D991" s="42"/>
    </row>
    <row r="992">
      <c r="D992" s="42"/>
    </row>
    <row r="993">
      <c r="D993" s="42"/>
    </row>
    <row r="994">
      <c r="D994" s="42"/>
    </row>
    <row r="995">
      <c r="D995" s="42"/>
    </row>
    <row r="996">
      <c r="D996" s="42"/>
    </row>
    <row r="997">
      <c r="D997" s="42"/>
    </row>
    <row r="998">
      <c r="D998" s="42"/>
    </row>
    <row r="999">
      <c r="D999" s="42"/>
    </row>
    <row r="1000">
      <c r="D1000" s="42"/>
    </row>
  </sheetData>
  <mergeCells count="5">
    <mergeCell ref="E1:F2"/>
    <mergeCell ref="A34:B35"/>
    <mergeCell ref="C34:C35"/>
    <mergeCell ref="D34:G35"/>
    <mergeCell ref="A45:F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53" t="s">
        <v>124</v>
      </c>
      <c r="B1" s="54"/>
      <c r="C1" s="54"/>
      <c r="D1" s="115"/>
      <c r="E1" s="116" t="s">
        <v>125</v>
      </c>
      <c r="F1" s="11"/>
      <c r="G1" s="134" t="s">
        <v>49</v>
      </c>
    </row>
    <row r="2">
      <c r="A2" s="59" t="s">
        <v>54</v>
      </c>
      <c r="B2" s="60"/>
      <c r="C2" s="60"/>
      <c r="D2" s="65">
        <v>80000.0</v>
      </c>
      <c r="E2" s="12"/>
      <c r="F2" s="14"/>
      <c r="G2" s="135" t="s">
        <v>50</v>
      </c>
    </row>
    <row r="3">
      <c r="A3" s="59" t="s">
        <v>57</v>
      </c>
      <c r="B3" s="60"/>
      <c r="C3" s="60"/>
      <c r="D3" s="61">
        <v>5000.0</v>
      </c>
      <c r="E3" s="136" t="s">
        <v>130</v>
      </c>
      <c r="F3" s="137"/>
      <c r="G3" s="138"/>
    </row>
    <row r="4">
      <c r="A4" s="59" t="s">
        <v>60</v>
      </c>
      <c r="B4" s="60"/>
      <c r="C4" s="60"/>
      <c r="D4" s="61">
        <v>20000.0</v>
      </c>
      <c r="E4" s="124" t="s">
        <v>131</v>
      </c>
      <c r="F4" s="124" t="s">
        <v>132</v>
      </c>
      <c r="G4" s="139" t="s">
        <v>28</v>
      </c>
    </row>
    <row r="5">
      <c r="A5" s="59" t="s">
        <v>63</v>
      </c>
      <c r="B5" s="60"/>
      <c r="C5" s="60"/>
      <c r="D5" s="61">
        <v>5000.0</v>
      </c>
      <c r="E5" s="95"/>
      <c r="G5" s="71"/>
    </row>
    <row r="6">
      <c r="A6" s="59" t="s">
        <v>66</v>
      </c>
      <c r="B6" s="60"/>
      <c r="C6" s="60"/>
      <c r="D6" s="61">
        <v>550.0</v>
      </c>
      <c r="E6" s="95"/>
      <c r="G6" s="71"/>
    </row>
    <row r="7">
      <c r="A7" s="59" t="s">
        <v>70</v>
      </c>
      <c r="B7" s="60"/>
      <c r="C7" s="60"/>
      <c r="D7" s="61">
        <v>600.0</v>
      </c>
      <c r="E7" s="95"/>
      <c r="G7" s="43"/>
    </row>
    <row r="8">
      <c r="A8" s="59" t="s">
        <v>73</v>
      </c>
      <c r="B8" s="60"/>
      <c r="C8" s="60"/>
      <c r="D8" s="61">
        <v>2000.0</v>
      </c>
      <c r="E8" s="95"/>
      <c r="G8" s="43"/>
    </row>
    <row r="9">
      <c r="A9" s="59" t="s">
        <v>76</v>
      </c>
      <c r="B9" s="60"/>
      <c r="C9" s="60"/>
      <c r="D9" s="61">
        <v>1500.0</v>
      </c>
      <c r="E9" s="95"/>
      <c r="G9" s="43"/>
    </row>
    <row r="10">
      <c r="A10" s="59" t="s">
        <v>78</v>
      </c>
      <c r="B10" s="60"/>
      <c r="C10" s="60"/>
      <c r="D10" s="61">
        <v>3000.0</v>
      </c>
      <c r="E10" s="95"/>
      <c r="G10" s="43"/>
    </row>
    <row r="11">
      <c r="A11" s="74"/>
      <c r="B11" s="60"/>
      <c r="C11" s="60"/>
      <c r="D11" s="75"/>
      <c r="G11" s="43"/>
    </row>
    <row r="12">
      <c r="A12" s="77" t="s">
        <v>82</v>
      </c>
      <c r="B12" s="78"/>
      <c r="C12" s="78"/>
      <c r="D12" s="79">
        <f>SUM(D2:D11)</f>
        <v>117650</v>
      </c>
      <c r="G12" s="43"/>
    </row>
    <row r="13">
      <c r="A13" s="80"/>
      <c r="B13" s="81"/>
      <c r="C13" s="81"/>
      <c r="D13" s="82"/>
      <c r="G13" s="43"/>
    </row>
    <row r="14">
      <c r="A14" s="83" t="s">
        <v>128</v>
      </c>
      <c r="B14" s="84"/>
      <c r="C14" s="84"/>
      <c r="D14" s="85"/>
      <c r="G14" s="43"/>
    </row>
    <row r="15">
      <c r="A15" s="86" t="s">
        <v>87</v>
      </c>
      <c r="D15" s="87">
        <v>14593.73</v>
      </c>
      <c r="G15" s="43"/>
    </row>
    <row r="16">
      <c r="A16" s="89" t="s">
        <v>89</v>
      </c>
      <c r="D16" s="87">
        <v>14303.13</v>
      </c>
      <c r="G16" s="43"/>
    </row>
    <row r="17">
      <c r="A17" s="89" t="s">
        <v>92</v>
      </c>
      <c r="D17" s="87">
        <v>14300.0</v>
      </c>
      <c r="E17" s="70"/>
      <c r="G17" s="43"/>
    </row>
    <row r="18">
      <c r="A18" s="89" t="s">
        <v>94</v>
      </c>
      <c r="D18" s="87">
        <v>3882.2</v>
      </c>
      <c r="E18" s="95"/>
      <c r="G18" s="43"/>
    </row>
    <row r="19">
      <c r="A19" s="89" t="s">
        <v>96</v>
      </c>
      <c r="D19" s="87">
        <v>2950.0</v>
      </c>
      <c r="E19" s="20" t="s">
        <v>82</v>
      </c>
      <c r="F19" s="21"/>
      <c r="G19" s="73" t="s">
        <v>133</v>
      </c>
    </row>
    <row r="20">
      <c r="A20" s="89" t="s">
        <v>99</v>
      </c>
      <c r="D20" s="42">
        <v>2791.04</v>
      </c>
      <c r="E20" s="68" t="s">
        <v>86</v>
      </c>
      <c r="F20" s="84"/>
      <c r="G20" s="58"/>
    </row>
    <row r="21">
      <c r="A21" s="93" t="s">
        <v>101</v>
      </c>
      <c r="D21" s="87">
        <v>1212.0</v>
      </c>
      <c r="E21" s="45" t="s">
        <v>54</v>
      </c>
      <c r="G21" s="88" t="s">
        <v>88</v>
      </c>
    </row>
    <row r="22">
      <c r="A22" s="93" t="s">
        <v>103</v>
      </c>
      <c r="D22" s="87">
        <v>1190.0</v>
      </c>
      <c r="E22" s="70" t="s">
        <v>90</v>
      </c>
      <c r="G22" s="90" t="s">
        <v>91</v>
      </c>
    </row>
    <row r="23">
      <c r="A23" s="93" t="s">
        <v>104</v>
      </c>
      <c r="D23" s="87">
        <v>1141.18</v>
      </c>
      <c r="E23" s="91" t="s">
        <v>93</v>
      </c>
      <c r="G23" s="43"/>
    </row>
    <row r="24">
      <c r="A24" s="93" t="s">
        <v>105</v>
      </c>
      <c r="D24" s="87">
        <v>1075.97</v>
      </c>
      <c r="E24" s="70" t="s">
        <v>63</v>
      </c>
      <c r="G24" s="88" t="s">
        <v>95</v>
      </c>
    </row>
    <row r="25">
      <c r="A25" s="96" t="s">
        <v>106</v>
      </c>
      <c r="D25" s="42">
        <v>950.0</v>
      </c>
      <c r="E25" s="70" t="s">
        <v>97</v>
      </c>
      <c r="G25" s="88" t="s">
        <v>98</v>
      </c>
    </row>
    <row r="26">
      <c r="A26" s="95"/>
      <c r="D26" s="42"/>
      <c r="E26" s="92" t="s">
        <v>100</v>
      </c>
      <c r="F26" s="21"/>
      <c r="G26" s="23"/>
    </row>
    <row r="27">
      <c r="A27" s="66" t="s">
        <v>82</v>
      </c>
      <c r="B27" s="101"/>
      <c r="C27" s="101"/>
      <c r="D27" s="102">
        <f>SUM(D15:D26)</f>
        <v>58389.25</v>
      </c>
      <c r="E27" s="122" t="s">
        <v>107</v>
      </c>
      <c r="F27" s="140"/>
      <c r="G27" s="123"/>
    </row>
    <row r="28">
      <c r="A28" s="68" t="s">
        <v>64</v>
      </c>
      <c r="B28" s="84"/>
      <c r="C28" s="141"/>
      <c r="D28" s="142"/>
      <c r="E28" s="119" t="s">
        <v>109</v>
      </c>
      <c r="F28" s="141"/>
      <c r="G28" s="143">
        <v>44691.0</v>
      </c>
    </row>
    <row r="29">
      <c r="A29" s="70" t="s">
        <v>67</v>
      </c>
      <c r="D29" s="71" t="s">
        <v>68</v>
      </c>
      <c r="E29" s="144" t="s">
        <v>121</v>
      </c>
      <c r="F29" s="98"/>
      <c r="G29" s="145" t="s">
        <v>122</v>
      </c>
    </row>
    <row r="30">
      <c r="A30" s="70" t="s">
        <v>71</v>
      </c>
      <c r="D30" s="71" t="s">
        <v>72</v>
      </c>
      <c r="E30" s="108" t="s">
        <v>111</v>
      </c>
      <c r="F30" s="109"/>
      <c r="G30" s="110" t="s">
        <v>112</v>
      </c>
    </row>
    <row r="31">
      <c r="A31" s="70" t="s">
        <v>74</v>
      </c>
      <c r="D31" s="71" t="s">
        <v>75</v>
      </c>
      <c r="E31" s="110" t="s">
        <v>114</v>
      </c>
      <c r="F31" s="110" t="s">
        <v>115</v>
      </c>
      <c r="G31" s="110" t="s">
        <v>116</v>
      </c>
    </row>
    <row r="32">
      <c r="A32" s="20" t="s">
        <v>63</v>
      </c>
      <c r="B32" s="21"/>
      <c r="C32" s="21"/>
      <c r="D32" s="73" t="s">
        <v>77</v>
      </c>
      <c r="E32" s="146"/>
      <c r="F32" s="110" t="s">
        <v>118</v>
      </c>
      <c r="G32" s="110" t="s">
        <v>119</v>
      </c>
    </row>
    <row r="33">
      <c r="A33" s="147"/>
    </row>
    <row r="34">
      <c r="A34" s="1" t="s">
        <v>0</v>
      </c>
      <c r="B34" s="2"/>
      <c r="C34" s="2"/>
      <c r="D34" s="3">
        <v>44875.0</v>
      </c>
      <c r="E34" s="4">
        <v>0.3902777777777778</v>
      </c>
      <c r="F34" s="5" t="s">
        <v>1</v>
      </c>
      <c r="G34" s="6" t="s">
        <v>2</v>
      </c>
    </row>
    <row r="35">
      <c r="A35" s="7" t="s">
        <v>3</v>
      </c>
      <c r="B35" s="8"/>
      <c r="C35" s="9" t="s">
        <v>4</v>
      </c>
      <c r="D35" s="10" t="s">
        <v>5</v>
      </c>
      <c r="E35" s="8"/>
      <c r="F35" s="8"/>
      <c r="G35" s="11"/>
    </row>
    <row r="36">
      <c r="A36" s="12"/>
      <c r="B36" s="13"/>
      <c r="C36" s="13"/>
      <c r="D36" s="13"/>
      <c r="E36" s="13"/>
      <c r="F36" s="13"/>
      <c r="G36" s="14"/>
    </row>
    <row r="37">
      <c r="A37" s="15" t="s">
        <v>6</v>
      </c>
      <c r="B37" s="16"/>
      <c r="C37" s="16"/>
      <c r="D37" s="17"/>
      <c r="E37" s="16"/>
      <c r="F37" s="18"/>
      <c r="G37" s="19" t="s">
        <v>7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20" t="s">
        <v>8</v>
      </c>
      <c r="B38" s="21"/>
      <c r="C38" s="21"/>
      <c r="D38" s="22"/>
      <c r="E38" s="21"/>
      <c r="F38" s="23"/>
      <c r="G38" s="24">
        <v>44691.0</v>
      </c>
    </row>
    <row r="39">
      <c r="A39" s="15" t="s">
        <v>9</v>
      </c>
      <c r="B39" s="25"/>
      <c r="C39" s="25"/>
      <c r="D39" s="26"/>
      <c r="E39" s="15" t="s">
        <v>10</v>
      </c>
      <c r="F39" s="27"/>
      <c r="G39" s="19" t="s">
        <v>11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0" t="s">
        <v>12</v>
      </c>
      <c r="B40" s="21"/>
      <c r="C40" s="21"/>
      <c r="D40" s="28"/>
      <c r="E40" s="20" t="s">
        <v>13</v>
      </c>
      <c r="F40" s="23"/>
      <c r="G40" s="29" t="s">
        <v>14</v>
      </c>
    </row>
    <row r="41">
      <c r="A41" s="19" t="s">
        <v>15</v>
      </c>
      <c r="B41" s="19" t="s">
        <v>16</v>
      </c>
      <c r="C41" s="19" t="s">
        <v>17</v>
      </c>
      <c r="D41" s="30" t="s">
        <v>18</v>
      </c>
      <c r="E41" s="15" t="s">
        <v>19</v>
      </c>
      <c r="F41" s="27"/>
      <c r="G41" s="19" t="s">
        <v>20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24">
        <v>44685.0</v>
      </c>
      <c r="B42" s="31">
        <v>205230.0</v>
      </c>
      <c r="C42" s="29" t="s">
        <v>21</v>
      </c>
      <c r="D42" s="32" t="s">
        <v>22</v>
      </c>
      <c r="E42" s="33">
        <v>44685.0</v>
      </c>
      <c r="F42" s="23"/>
      <c r="G42" s="29" t="s">
        <v>23</v>
      </c>
    </row>
    <row r="43">
      <c r="A43" s="19" t="s">
        <v>24</v>
      </c>
      <c r="B43" s="19" t="s">
        <v>25</v>
      </c>
      <c r="C43" s="19" t="s">
        <v>26</v>
      </c>
      <c r="D43" s="30" t="s">
        <v>27</v>
      </c>
      <c r="E43" s="15" t="s">
        <v>28</v>
      </c>
      <c r="F43" s="27"/>
      <c r="G43" s="19" t="s">
        <v>29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34"/>
      <c r="B44" s="31">
        <v>1.0</v>
      </c>
      <c r="C44" s="29" t="s">
        <v>30</v>
      </c>
      <c r="D44" s="35"/>
      <c r="E44" s="36"/>
      <c r="F44" s="23"/>
      <c r="G44" s="29" t="s">
        <v>31</v>
      </c>
    </row>
    <row r="45">
      <c r="A45" s="15" t="s">
        <v>32</v>
      </c>
      <c r="B45" s="16"/>
      <c r="C45" s="16"/>
      <c r="D45" s="17"/>
      <c r="E45" s="16"/>
      <c r="F45" s="18"/>
      <c r="G45" s="19" t="s">
        <v>33</v>
      </c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37" t="s">
        <v>34</v>
      </c>
      <c r="F46" s="38"/>
      <c r="G46" s="29" t="s">
        <v>35</v>
      </c>
    </row>
    <row r="47">
      <c r="A47" s="39"/>
      <c r="F47" s="38"/>
      <c r="G47" s="19" t="s">
        <v>36</v>
      </c>
    </row>
    <row r="48">
      <c r="A48" s="39"/>
      <c r="F48" s="38"/>
      <c r="G48" s="29" t="s">
        <v>35</v>
      </c>
    </row>
    <row r="49">
      <c r="A49" s="39"/>
      <c r="F49" s="38"/>
      <c r="G49" s="19" t="s">
        <v>37</v>
      </c>
    </row>
    <row r="50">
      <c r="A50" s="39"/>
      <c r="F50" s="38"/>
      <c r="G50" s="29" t="s">
        <v>35</v>
      </c>
    </row>
    <row r="51">
      <c r="A51" s="39"/>
      <c r="F51" s="38"/>
      <c r="G51" s="19" t="s">
        <v>38</v>
      </c>
    </row>
    <row r="52">
      <c r="A52" s="39"/>
      <c r="F52" s="38"/>
      <c r="G52" s="29" t="s">
        <v>35</v>
      </c>
    </row>
    <row r="53">
      <c r="A53" s="39"/>
      <c r="F53" s="38"/>
      <c r="G53" s="40" t="s">
        <v>39</v>
      </c>
    </row>
    <row r="54">
      <c r="A54" s="12"/>
      <c r="B54" s="13"/>
      <c r="C54" s="13"/>
      <c r="D54" s="13"/>
      <c r="E54" s="13"/>
      <c r="F54" s="14"/>
      <c r="G54" s="29" t="s">
        <v>31</v>
      </c>
    </row>
    <row r="55">
      <c r="A55" s="15" t="s">
        <v>40</v>
      </c>
      <c r="B55" s="16"/>
      <c r="C55" s="16"/>
      <c r="D55" s="17"/>
      <c r="E55" s="16"/>
      <c r="F55" s="16"/>
      <c r="G55" s="18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41" t="s">
        <v>41</v>
      </c>
      <c r="D56" s="42"/>
      <c r="G56" s="43"/>
    </row>
    <row r="57">
      <c r="A57" s="41" t="s">
        <v>42</v>
      </c>
      <c r="D57" s="42"/>
      <c r="G57" s="43"/>
    </row>
    <row r="58">
      <c r="A58" s="41" t="s">
        <v>43</v>
      </c>
      <c r="D58" s="42"/>
      <c r="G58" s="43"/>
    </row>
    <row r="59">
      <c r="A59" s="36"/>
      <c r="B59" s="21"/>
      <c r="C59" s="21"/>
      <c r="D59" s="22"/>
      <c r="E59" s="21"/>
      <c r="F59" s="21"/>
      <c r="G59" s="23"/>
    </row>
    <row r="60">
      <c r="A60" s="114"/>
      <c r="D60" s="42"/>
      <c r="E60" s="44" t="s">
        <v>44</v>
      </c>
      <c r="F60" s="45" t="s">
        <v>45</v>
      </c>
    </row>
    <row r="61">
      <c r="D61" s="42"/>
    </row>
    <row r="62">
      <c r="D62" s="42"/>
    </row>
  </sheetData>
  <mergeCells count="6">
    <mergeCell ref="E1:F2"/>
    <mergeCell ref="E3:G3"/>
    <mergeCell ref="A35:B36"/>
    <mergeCell ref="C35:C36"/>
    <mergeCell ref="D35:G36"/>
    <mergeCell ref="A46:F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46" t="s">
        <v>46</v>
      </c>
      <c r="C1" s="47" t="s">
        <v>47</v>
      </c>
      <c r="D1" s="48"/>
      <c r="E1" s="49"/>
      <c r="F1" s="50" t="s">
        <v>48</v>
      </c>
    </row>
    <row r="2">
      <c r="C2" s="51" t="s">
        <v>49</v>
      </c>
      <c r="D2" s="52" t="s">
        <v>50</v>
      </c>
      <c r="E2" s="49"/>
    </row>
    <row r="3">
      <c r="A3" s="53" t="s">
        <v>124</v>
      </c>
      <c r="B3" s="54"/>
      <c r="C3" s="54"/>
      <c r="D3" s="55"/>
      <c r="E3" s="136" t="s">
        <v>130</v>
      </c>
      <c r="F3" s="137"/>
      <c r="G3" s="138"/>
    </row>
    <row r="4">
      <c r="A4" s="59" t="s">
        <v>54</v>
      </c>
      <c r="B4" s="60"/>
      <c r="C4" s="60"/>
      <c r="D4" s="61">
        <v>80000.0</v>
      </c>
      <c r="E4" s="124" t="s">
        <v>131</v>
      </c>
      <c r="F4" s="124" t="s">
        <v>132</v>
      </c>
      <c r="G4" s="139" t="s">
        <v>28</v>
      </c>
    </row>
    <row r="5">
      <c r="A5" s="59" t="s">
        <v>57</v>
      </c>
      <c r="B5" s="60"/>
      <c r="C5" s="60"/>
      <c r="D5" s="65">
        <v>5000.0</v>
      </c>
      <c r="E5" s="95"/>
      <c r="G5" s="71"/>
    </row>
    <row r="6">
      <c r="A6" s="59" t="s">
        <v>60</v>
      </c>
      <c r="B6" s="60"/>
      <c r="C6" s="60"/>
      <c r="D6" s="65">
        <v>20000.0</v>
      </c>
      <c r="E6" s="95"/>
      <c r="G6" s="71"/>
    </row>
    <row r="7">
      <c r="A7" s="59" t="s">
        <v>63</v>
      </c>
      <c r="B7" s="60"/>
      <c r="C7" s="60"/>
      <c r="D7" s="65">
        <v>5000.0</v>
      </c>
      <c r="E7" s="95"/>
      <c r="G7" s="43"/>
    </row>
    <row r="8">
      <c r="A8" s="59" t="s">
        <v>66</v>
      </c>
      <c r="B8" s="60"/>
      <c r="C8" s="60"/>
      <c r="D8" s="65">
        <v>550.0</v>
      </c>
      <c r="E8" s="95"/>
      <c r="G8" s="43"/>
    </row>
    <row r="9">
      <c r="A9" s="59" t="s">
        <v>70</v>
      </c>
      <c r="B9" s="60"/>
      <c r="C9" s="60"/>
      <c r="D9" s="65">
        <v>600.0</v>
      </c>
      <c r="E9" s="95"/>
      <c r="G9" s="43"/>
    </row>
    <row r="10">
      <c r="A10" s="59" t="s">
        <v>73</v>
      </c>
      <c r="B10" s="60"/>
      <c r="C10" s="60"/>
      <c r="D10" s="65">
        <v>2000.0</v>
      </c>
      <c r="E10" s="95"/>
      <c r="G10" s="43"/>
    </row>
    <row r="11">
      <c r="A11" s="59" t="s">
        <v>76</v>
      </c>
      <c r="B11" s="60"/>
      <c r="C11" s="60"/>
      <c r="D11" s="65">
        <v>1500.0</v>
      </c>
      <c r="G11" s="43"/>
    </row>
    <row r="12">
      <c r="A12" s="59" t="s">
        <v>78</v>
      </c>
      <c r="B12" s="60"/>
      <c r="C12" s="60"/>
      <c r="D12" s="65">
        <v>3000.0</v>
      </c>
      <c r="G12" s="43"/>
    </row>
    <row r="13">
      <c r="A13" s="74"/>
      <c r="B13" s="60"/>
      <c r="C13" s="60"/>
      <c r="D13" s="75"/>
      <c r="G13" s="43"/>
    </row>
    <row r="14">
      <c r="A14" s="77" t="s">
        <v>82</v>
      </c>
      <c r="B14" s="78"/>
      <c r="C14" s="78"/>
      <c r="D14" s="79">
        <f>SUM(D4:D13)</f>
        <v>117650</v>
      </c>
      <c r="G14" s="43"/>
    </row>
    <row r="15">
      <c r="A15" s="80"/>
      <c r="B15" s="81"/>
      <c r="C15" s="81"/>
      <c r="D15" s="82"/>
      <c r="G15" s="43"/>
    </row>
    <row r="16">
      <c r="A16" s="83" t="s">
        <v>128</v>
      </c>
      <c r="B16" s="84"/>
      <c r="C16" s="84"/>
      <c r="D16" s="85"/>
      <c r="G16" s="43"/>
    </row>
    <row r="17">
      <c r="A17" s="86" t="s">
        <v>87</v>
      </c>
      <c r="D17" s="87">
        <v>14593.73</v>
      </c>
      <c r="E17" s="70"/>
      <c r="G17" s="43"/>
    </row>
    <row r="18">
      <c r="A18" s="89" t="s">
        <v>89</v>
      </c>
      <c r="D18" s="87">
        <v>14303.13</v>
      </c>
      <c r="E18" s="95"/>
      <c r="G18" s="43"/>
      <c r="H18" s="148"/>
    </row>
    <row r="19">
      <c r="A19" s="89" t="s">
        <v>92</v>
      </c>
      <c r="D19" s="87">
        <v>14300.0</v>
      </c>
      <c r="E19" s="95"/>
      <c r="G19" s="43"/>
    </row>
    <row r="20">
      <c r="A20" s="89" t="s">
        <v>94</v>
      </c>
      <c r="D20" s="87">
        <v>3882.2</v>
      </c>
      <c r="E20" s="95"/>
      <c r="G20" s="43"/>
    </row>
    <row r="21">
      <c r="A21" s="89" t="s">
        <v>96</v>
      </c>
      <c r="D21" s="87">
        <v>2950.0</v>
      </c>
      <c r="E21" s="20" t="s">
        <v>82</v>
      </c>
      <c r="F21" s="21"/>
      <c r="G21" s="73" t="s">
        <v>133</v>
      </c>
    </row>
    <row r="22">
      <c r="A22" s="89" t="s">
        <v>99</v>
      </c>
      <c r="D22" s="42">
        <v>2791.04</v>
      </c>
      <c r="E22" s="68" t="s">
        <v>86</v>
      </c>
      <c r="F22" s="84"/>
      <c r="G22" s="58"/>
    </row>
    <row r="23">
      <c r="A23" s="93" t="s">
        <v>101</v>
      </c>
      <c r="D23" s="87">
        <v>1212.0</v>
      </c>
      <c r="E23" s="45" t="s">
        <v>54</v>
      </c>
      <c r="G23" s="88" t="s">
        <v>88</v>
      </c>
    </row>
    <row r="24">
      <c r="A24" s="93" t="s">
        <v>103</v>
      </c>
      <c r="D24" s="87">
        <v>1190.0</v>
      </c>
      <c r="E24" s="70" t="s">
        <v>90</v>
      </c>
      <c r="G24" s="90" t="s">
        <v>91</v>
      </c>
    </row>
    <row r="25">
      <c r="A25" s="93" t="s">
        <v>104</v>
      </c>
      <c r="D25" s="87">
        <v>1141.18</v>
      </c>
      <c r="E25" s="91" t="s">
        <v>93</v>
      </c>
      <c r="G25" s="43"/>
    </row>
    <row r="26">
      <c r="A26" s="93" t="s">
        <v>105</v>
      </c>
      <c r="D26" s="87">
        <v>1075.97</v>
      </c>
      <c r="E26" s="70" t="s">
        <v>63</v>
      </c>
      <c r="G26" s="88" t="s">
        <v>95</v>
      </c>
    </row>
    <row r="27">
      <c r="A27" s="96" t="s">
        <v>106</v>
      </c>
      <c r="D27" s="87">
        <v>950.0</v>
      </c>
      <c r="E27" s="70" t="s">
        <v>97</v>
      </c>
      <c r="G27" s="88" t="s">
        <v>98</v>
      </c>
    </row>
    <row r="28">
      <c r="A28" s="95"/>
      <c r="D28" s="87"/>
      <c r="E28" s="92" t="s">
        <v>100</v>
      </c>
      <c r="F28" s="21"/>
      <c r="G28" s="23"/>
    </row>
    <row r="29">
      <c r="A29" s="97" t="s">
        <v>82</v>
      </c>
      <c r="B29" s="98"/>
      <c r="C29" s="98"/>
      <c r="D29" s="99">
        <f>SUM(D17:D28)</f>
        <v>58389.25</v>
      </c>
      <c r="E29" s="122" t="s">
        <v>107</v>
      </c>
      <c r="F29" s="140"/>
      <c r="G29" s="123"/>
    </row>
    <row r="30">
      <c r="A30" s="100"/>
      <c r="B30" s="101"/>
      <c r="C30" s="101"/>
      <c r="D30" s="102"/>
      <c r="E30" s="119" t="s">
        <v>109</v>
      </c>
      <c r="F30" s="141"/>
      <c r="G30" s="143">
        <v>44691.0</v>
      </c>
    </row>
    <row r="31">
      <c r="A31" s="106" t="s">
        <v>110</v>
      </c>
      <c r="B31" s="84"/>
      <c r="C31" s="84"/>
      <c r="D31" s="107">
        <v>10000.0</v>
      </c>
      <c r="E31" s="144" t="s">
        <v>121</v>
      </c>
      <c r="F31" s="98"/>
      <c r="G31" s="145" t="s">
        <v>122</v>
      </c>
    </row>
    <row r="32">
      <c r="A32" s="70" t="s">
        <v>113</v>
      </c>
      <c r="D32" s="111">
        <v>117650.0</v>
      </c>
      <c r="E32" s="108" t="s">
        <v>111</v>
      </c>
      <c r="F32" s="109"/>
      <c r="G32" s="110" t="s">
        <v>112</v>
      </c>
    </row>
    <row r="33">
      <c r="A33" s="70" t="s">
        <v>117</v>
      </c>
      <c r="D33" s="111">
        <v>58389.25</v>
      </c>
      <c r="E33" s="110" t="s">
        <v>114</v>
      </c>
      <c r="F33" s="110" t="s">
        <v>115</v>
      </c>
      <c r="G33" s="110" t="s">
        <v>116</v>
      </c>
    </row>
    <row r="34">
      <c r="A34" s="20" t="s">
        <v>120</v>
      </c>
      <c r="B34" s="21"/>
      <c r="C34" s="21"/>
      <c r="D34" s="28">
        <f>D31+D32-D33</f>
        <v>69260.75</v>
      </c>
      <c r="E34" s="146"/>
      <c r="F34" s="110" t="s">
        <v>118</v>
      </c>
      <c r="G34" s="110" t="s">
        <v>119</v>
      </c>
    </row>
    <row r="35">
      <c r="A35" s="147"/>
    </row>
    <row r="36">
      <c r="A36" s="1" t="s">
        <v>0</v>
      </c>
      <c r="B36" s="2"/>
      <c r="C36" s="2"/>
      <c r="D36" s="3">
        <v>44875.0</v>
      </c>
      <c r="E36" s="4">
        <v>0.3902777777777778</v>
      </c>
      <c r="F36" s="5" t="s">
        <v>1</v>
      </c>
      <c r="G36" s="6" t="s">
        <v>2</v>
      </c>
    </row>
    <row r="37">
      <c r="A37" s="7" t="s">
        <v>3</v>
      </c>
      <c r="B37" s="8"/>
      <c r="C37" s="9" t="s">
        <v>4</v>
      </c>
      <c r="D37" s="10" t="s">
        <v>5</v>
      </c>
      <c r="E37" s="8"/>
      <c r="F37" s="8"/>
      <c r="G37" s="11"/>
    </row>
    <row r="38">
      <c r="A38" s="12"/>
      <c r="B38" s="13"/>
      <c r="C38" s="13"/>
      <c r="D38" s="13"/>
      <c r="E38" s="13"/>
      <c r="F38" s="13"/>
      <c r="G38" s="14"/>
    </row>
    <row r="39">
      <c r="A39" s="15" t="s">
        <v>6</v>
      </c>
      <c r="B39" s="16"/>
      <c r="C39" s="16"/>
      <c r="D39" s="17"/>
      <c r="E39" s="16"/>
      <c r="F39" s="18"/>
      <c r="G39" s="19" t="s">
        <v>7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0" t="s">
        <v>8</v>
      </c>
      <c r="B40" s="21"/>
      <c r="C40" s="21"/>
      <c r="D40" s="22"/>
      <c r="E40" s="21"/>
      <c r="F40" s="23"/>
      <c r="G40" s="24">
        <v>44691.0</v>
      </c>
    </row>
    <row r="41">
      <c r="A41" s="15" t="s">
        <v>9</v>
      </c>
      <c r="B41" s="25"/>
      <c r="C41" s="25"/>
      <c r="D41" s="26"/>
      <c r="E41" s="15" t="s">
        <v>10</v>
      </c>
      <c r="F41" s="27"/>
      <c r="G41" s="19" t="s">
        <v>11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20" t="s">
        <v>12</v>
      </c>
      <c r="B42" s="21"/>
      <c r="C42" s="21"/>
      <c r="D42" s="28"/>
      <c r="E42" s="20" t="s">
        <v>13</v>
      </c>
      <c r="F42" s="23"/>
      <c r="G42" s="29" t="s">
        <v>14</v>
      </c>
    </row>
    <row r="43">
      <c r="A43" s="19" t="s">
        <v>15</v>
      </c>
      <c r="B43" s="19" t="s">
        <v>16</v>
      </c>
      <c r="C43" s="19" t="s">
        <v>17</v>
      </c>
      <c r="D43" s="30" t="s">
        <v>18</v>
      </c>
      <c r="E43" s="15" t="s">
        <v>19</v>
      </c>
      <c r="F43" s="27"/>
      <c r="G43" s="19" t="s">
        <v>20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24">
        <v>44685.0</v>
      </c>
      <c r="B44" s="31">
        <v>205230.0</v>
      </c>
      <c r="C44" s="29" t="s">
        <v>21</v>
      </c>
      <c r="D44" s="32" t="s">
        <v>22</v>
      </c>
      <c r="E44" s="33">
        <v>44685.0</v>
      </c>
      <c r="F44" s="23"/>
      <c r="G44" s="29" t="s">
        <v>23</v>
      </c>
    </row>
    <row r="45">
      <c r="A45" s="19" t="s">
        <v>24</v>
      </c>
      <c r="B45" s="19" t="s">
        <v>25</v>
      </c>
      <c r="C45" s="19" t="s">
        <v>26</v>
      </c>
      <c r="D45" s="30" t="s">
        <v>27</v>
      </c>
      <c r="E45" s="15" t="s">
        <v>28</v>
      </c>
      <c r="F45" s="27"/>
      <c r="G45" s="19" t="s">
        <v>29</v>
      </c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34"/>
      <c r="B46" s="31">
        <v>1.0</v>
      </c>
      <c r="C46" s="29" t="s">
        <v>30</v>
      </c>
      <c r="D46" s="35"/>
      <c r="E46" s="36"/>
      <c r="F46" s="23"/>
      <c r="G46" s="29" t="s">
        <v>31</v>
      </c>
    </row>
    <row r="47">
      <c r="A47" s="15" t="s">
        <v>32</v>
      </c>
      <c r="B47" s="16"/>
      <c r="C47" s="16"/>
      <c r="D47" s="17"/>
      <c r="E47" s="16"/>
      <c r="F47" s="18"/>
      <c r="G47" s="19" t="s">
        <v>33</v>
      </c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37" t="s">
        <v>34</v>
      </c>
      <c r="F48" s="38"/>
      <c r="G48" s="29" t="s">
        <v>35</v>
      </c>
    </row>
    <row r="49">
      <c r="A49" s="39"/>
      <c r="F49" s="38"/>
      <c r="G49" s="19" t="s">
        <v>36</v>
      </c>
    </row>
    <row r="50">
      <c r="A50" s="39"/>
      <c r="F50" s="38"/>
      <c r="G50" s="29" t="s">
        <v>35</v>
      </c>
    </row>
    <row r="51">
      <c r="A51" s="39"/>
      <c r="F51" s="38"/>
      <c r="G51" s="19" t="s">
        <v>37</v>
      </c>
    </row>
    <row r="52">
      <c r="A52" s="39"/>
      <c r="F52" s="38"/>
      <c r="G52" s="29" t="s">
        <v>35</v>
      </c>
    </row>
    <row r="53">
      <c r="A53" s="39"/>
      <c r="F53" s="38"/>
      <c r="G53" s="19" t="s">
        <v>38</v>
      </c>
    </row>
    <row r="54">
      <c r="A54" s="39"/>
      <c r="F54" s="38"/>
      <c r="G54" s="29" t="s">
        <v>35</v>
      </c>
    </row>
    <row r="55">
      <c r="A55" s="39"/>
      <c r="F55" s="38"/>
      <c r="G55" s="40" t="s">
        <v>39</v>
      </c>
    </row>
    <row r="56">
      <c r="A56" s="12"/>
      <c r="B56" s="13"/>
      <c r="C56" s="13"/>
      <c r="D56" s="13"/>
      <c r="E56" s="13"/>
      <c r="F56" s="14"/>
      <c r="G56" s="29" t="s">
        <v>31</v>
      </c>
    </row>
    <row r="57">
      <c r="A57" s="15" t="s">
        <v>40</v>
      </c>
      <c r="B57" s="16"/>
      <c r="C57" s="16"/>
      <c r="D57" s="17"/>
      <c r="E57" s="16"/>
      <c r="F57" s="16"/>
      <c r="G57" s="18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41" t="s">
        <v>41</v>
      </c>
      <c r="D58" s="42"/>
      <c r="G58" s="43"/>
    </row>
    <row r="59">
      <c r="A59" s="41" t="s">
        <v>42</v>
      </c>
      <c r="D59" s="42"/>
      <c r="G59" s="43"/>
    </row>
    <row r="60">
      <c r="A60" s="41" t="s">
        <v>43</v>
      </c>
      <c r="D60" s="42"/>
      <c r="G60" s="43"/>
    </row>
    <row r="61">
      <c r="A61" s="36"/>
      <c r="B61" s="21"/>
      <c r="C61" s="21"/>
      <c r="D61" s="22"/>
      <c r="E61" s="21"/>
      <c r="F61" s="21"/>
      <c r="G61" s="23"/>
    </row>
    <row r="62">
      <c r="D62" s="42"/>
      <c r="E62" s="44" t="s">
        <v>44</v>
      </c>
      <c r="F62" s="45" t="s">
        <v>45</v>
      </c>
    </row>
    <row r="63">
      <c r="D63" s="42"/>
    </row>
    <row r="64">
      <c r="D64" s="42"/>
    </row>
  </sheetData>
  <mergeCells count="7">
    <mergeCell ref="A1:B2"/>
    <mergeCell ref="F1:G2"/>
    <mergeCell ref="E3:G3"/>
    <mergeCell ref="A37:B38"/>
    <mergeCell ref="C37:C38"/>
    <mergeCell ref="D37:G38"/>
    <mergeCell ref="A48:F5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49" t="s">
        <v>134</v>
      </c>
      <c r="D1" s="150" t="s">
        <v>135</v>
      </c>
      <c r="E1" s="51" t="s">
        <v>49</v>
      </c>
      <c r="F1" s="52" t="s">
        <v>50</v>
      </c>
      <c r="G1" s="151" t="s">
        <v>136</v>
      </c>
    </row>
    <row r="2">
      <c r="A2" s="53" t="s">
        <v>124</v>
      </c>
      <c r="B2" s="54"/>
      <c r="C2" s="54"/>
      <c r="D2" s="55"/>
      <c r="E2" s="136" t="s">
        <v>130</v>
      </c>
      <c r="F2" s="137"/>
      <c r="G2" s="138"/>
    </row>
    <row r="3">
      <c r="A3" s="59" t="s">
        <v>54</v>
      </c>
      <c r="B3" s="60"/>
      <c r="C3" s="60"/>
      <c r="D3" s="61">
        <v>80000.0</v>
      </c>
      <c r="E3" s="124" t="s">
        <v>131</v>
      </c>
      <c r="F3" s="124" t="s">
        <v>132</v>
      </c>
      <c r="G3" s="139" t="s">
        <v>28</v>
      </c>
    </row>
    <row r="4">
      <c r="A4" s="59" t="s">
        <v>57</v>
      </c>
      <c r="B4" s="60"/>
      <c r="C4" s="60"/>
      <c r="D4" s="65">
        <v>5000.0</v>
      </c>
      <c r="E4" s="95"/>
      <c r="G4" s="71"/>
    </row>
    <row r="5">
      <c r="A5" s="59" t="s">
        <v>60</v>
      </c>
      <c r="B5" s="60"/>
      <c r="C5" s="60"/>
      <c r="D5" s="65">
        <v>20000.0</v>
      </c>
      <c r="E5" s="95"/>
      <c r="G5" s="71"/>
    </row>
    <row r="6">
      <c r="A6" s="59" t="s">
        <v>63</v>
      </c>
      <c r="B6" s="60"/>
      <c r="C6" s="60"/>
      <c r="D6" s="65">
        <v>5000.0</v>
      </c>
      <c r="E6" s="95"/>
      <c r="G6" s="43"/>
    </row>
    <row r="7">
      <c r="A7" s="59" t="s">
        <v>66</v>
      </c>
      <c r="B7" s="60"/>
      <c r="C7" s="60"/>
      <c r="D7" s="65">
        <v>550.0</v>
      </c>
      <c r="E7" s="95"/>
      <c r="G7" s="43"/>
    </row>
    <row r="8">
      <c r="A8" s="59" t="s">
        <v>70</v>
      </c>
      <c r="B8" s="60"/>
      <c r="C8" s="60"/>
      <c r="D8" s="65">
        <v>600.0</v>
      </c>
      <c r="E8" s="95"/>
      <c r="G8" s="43"/>
    </row>
    <row r="9">
      <c r="A9" s="59" t="s">
        <v>73</v>
      </c>
      <c r="B9" s="60"/>
      <c r="C9" s="60"/>
      <c r="D9" s="65">
        <v>2000.0</v>
      </c>
      <c r="E9" s="95"/>
      <c r="G9" s="43"/>
    </row>
    <row r="10">
      <c r="A10" s="59" t="s">
        <v>76</v>
      </c>
      <c r="B10" s="60"/>
      <c r="C10" s="60"/>
      <c r="D10" s="65">
        <v>1500.0</v>
      </c>
      <c r="G10" s="43"/>
    </row>
    <row r="11">
      <c r="A11" s="59" t="s">
        <v>78</v>
      </c>
      <c r="B11" s="60"/>
      <c r="C11" s="60"/>
      <c r="D11" s="65">
        <v>3000.0</v>
      </c>
      <c r="G11" s="43"/>
    </row>
    <row r="12">
      <c r="A12" s="74"/>
      <c r="B12" s="60"/>
      <c r="C12" s="60"/>
      <c r="D12" s="75"/>
      <c r="G12" s="43"/>
    </row>
    <row r="13">
      <c r="A13" s="77" t="s">
        <v>82</v>
      </c>
      <c r="B13" s="78"/>
      <c r="C13" s="78"/>
      <c r="D13" s="79">
        <f>SUM(D3:D12)</f>
        <v>117650</v>
      </c>
      <c r="G13" s="43"/>
    </row>
    <row r="14">
      <c r="A14" s="80"/>
      <c r="B14" s="81"/>
      <c r="C14" s="81"/>
      <c r="D14" s="82"/>
      <c r="G14" s="43"/>
    </row>
    <row r="15">
      <c r="A15" s="83" t="s">
        <v>128</v>
      </c>
      <c r="B15" s="84"/>
      <c r="C15" s="84"/>
      <c r="D15" s="85"/>
      <c r="G15" s="43"/>
    </row>
    <row r="16">
      <c r="A16" s="86" t="s">
        <v>87</v>
      </c>
      <c r="D16" s="87">
        <v>14593.73</v>
      </c>
      <c r="E16" s="70"/>
      <c r="G16" s="43"/>
    </row>
    <row r="17">
      <c r="A17" s="89" t="s">
        <v>89</v>
      </c>
      <c r="D17" s="87">
        <v>14303.13</v>
      </c>
      <c r="E17" s="95"/>
      <c r="G17" s="43"/>
    </row>
    <row r="18">
      <c r="A18" s="89" t="s">
        <v>92</v>
      </c>
      <c r="D18" s="87">
        <v>14300.0</v>
      </c>
      <c r="E18" s="95"/>
      <c r="G18" s="43"/>
    </row>
    <row r="19">
      <c r="A19" s="89" t="s">
        <v>94</v>
      </c>
      <c r="D19" s="87">
        <v>3882.2</v>
      </c>
      <c r="E19" s="95"/>
      <c r="G19" s="43"/>
    </row>
    <row r="20">
      <c r="A20" s="89" t="s">
        <v>96</v>
      </c>
      <c r="D20" s="87">
        <v>2950.0</v>
      </c>
      <c r="E20" s="20" t="s">
        <v>82</v>
      </c>
      <c r="F20" s="21"/>
      <c r="G20" s="73" t="s">
        <v>133</v>
      </c>
      <c r="I20" s="148"/>
    </row>
    <row r="21">
      <c r="A21" s="89" t="s">
        <v>99</v>
      </c>
      <c r="D21" s="42">
        <v>2791.04</v>
      </c>
      <c r="E21" s="68" t="s">
        <v>86</v>
      </c>
      <c r="F21" s="84"/>
      <c r="G21" s="58"/>
    </row>
    <row r="22">
      <c r="A22" s="93" t="s">
        <v>101</v>
      </c>
      <c r="D22" s="87">
        <v>1212.0</v>
      </c>
      <c r="E22" s="45" t="s">
        <v>54</v>
      </c>
      <c r="G22" s="88" t="s">
        <v>88</v>
      </c>
    </row>
    <row r="23">
      <c r="A23" s="93" t="s">
        <v>103</v>
      </c>
      <c r="D23" s="87">
        <v>1190.0</v>
      </c>
      <c r="E23" s="70" t="s">
        <v>90</v>
      </c>
      <c r="G23" s="90" t="s">
        <v>91</v>
      </c>
    </row>
    <row r="24">
      <c r="A24" s="93" t="s">
        <v>104</v>
      </c>
      <c r="D24" s="87">
        <v>1141.18</v>
      </c>
      <c r="E24" s="91" t="s">
        <v>93</v>
      </c>
      <c r="G24" s="43"/>
    </row>
    <row r="25">
      <c r="A25" s="93" t="s">
        <v>105</v>
      </c>
      <c r="D25" s="87">
        <v>1075.97</v>
      </c>
      <c r="E25" s="70" t="s">
        <v>63</v>
      </c>
      <c r="G25" s="88" t="s">
        <v>95</v>
      </c>
    </row>
    <row r="26">
      <c r="A26" s="96" t="s">
        <v>106</v>
      </c>
      <c r="D26" s="87">
        <v>950.0</v>
      </c>
      <c r="E26" s="70" t="s">
        <v>97</v>
      </c>
      <c r="G26" s="88" t="s">
        <v>98</v>
      </c>
    </row>
    <row r="27">
      <c r="A27" s="95"/>
      <c r="D27" s="87"/>
      <c r="E27" s="92" t="s">
        <v>100</v>
      </c>
      <c r="F27" s="21"/>
      <c r="G27" s="23"/>
    </row>
    <row r="28">
      <c r="A28" s="97" t="s">
        <v>82</v>
      </c>
      <c r="B28" s="98"/>
      <c r="C28" s="98"/>
      <c r="D28" s="99">
        <f>SUM(D16:D27)</f>
        <v>58389.25</v>
      </c>
      <c r="E28" s="122" t="s">
        <v>107</v>
      </c>
      <c r="F28" s="140"/>
      <c r="G28" s="123"/>
    </row>
    <row r="29">
      <c r="A29" s="100"/>
      <c r="B29" s="101"/>
      <c r="C29" s="101"/>
      <c r="D29" s="102"/>
      <c r="E29" s="119" t="s">
        <v>109</v>
      </c>
      <c r="F29" s="141"/>
      <c r="G29" s="143">
        <v>44691.0</v>
      </c>
    </row>
    <row r="30">
      <c r="A30" s="106" t="s">
        <v>110</v>
      </c>
      <c r="B30" s="84"/>
      <c r="C30" s="84"/>
      <c r="D30" s="107">
        <v>10000.0</v>
      </c>
      <c r="E30" s="144" t="s">
        <v>121</v>
      </c>
      <c r="F30" s="98"/>
      <c r="G30" s="145" t="s">
        <v>122</v>
      </c>
    </row>
    <row r="31">
      <c r="A31" s="70" t="s">
        <v>113</v>
      </c>
      <c r="D31" s="111">
        <v>117650.0</v>
      </c>
      <c r="E31" s="108" t="s">
        <v>111</v>
      </c>
      <c r="F31" s="109"/>
      <c r="G31" s="110" t="s">
        <v>112</v>
      </c>
    </row>
    <row r="32">
      <c r="A32" s="70" t="s">
        <v>117</v>
      </c>
      <c r="D32" s="111">
        <v>58389.25</v>
      </c>
      <c r="E32" s="110" t="s">
        <v>114</v>
      </c>
      <c r="F32" s="110" t="s">
        <v>115</v>
      </c>
      <c r="G32" s="110" t="s">
        <v>116</v>
      </c>
    </row>
    <row r="33">
      <c r="A33" s="20" t="s">
        <v>120</v>
      </c>
      <c r="B33" s="21"/>
      <c r="C33" s="21"/>
      <c r="D33" s="28">
        <f>D30+D31-D32</f>
        <v>69260.75</v>
      </c>
      <c r="E33" s="146"/>
      <c r="F33" s="110" t="s">
        <v>118</v>
      </c>
      <c r="G33" s="110" t="s">
        <v>119</v>
      </c>
    </row>
    <row r="35">
      <c r="A35" s="1" t="s">
        <v>0</v>
      </c>
      <c r="B35" s="2"/>
      <c r="C35" s="2"/>
      <c r="D35" s="3">
        <v>44875.0</v>
      </c>
      <c r="E35" s="4">
        <v>0.3902777777777778</v>
      </c>
      <c r="F35" s="5" t="s">
        <v>1</v>
      </c>
      <c r="G35" s="6" t="s">
        <v>2</v>
      </c>
    </row>
    <row r="36">
      <c r="A36" s="7" t="s">
        <v>3</v>
      </c>
      <c r="B36" s="8"/>
      <c r="C36" s="9" t="s">
        <v>4</v>
      </c>
      <c r="D36" s="10" t="s">
        <v>5</v>
      </c>
      <c r="E36" s="8"/>
      <c r="F36" s="8"/>
      <c r="G36" s="11"/>
    </row>
    <row r="37">
      <c r="A37" s="12"/>
      <c r="B37" s="13"/>
      <c r="C37" s="13"/>
      <c r="D37" s="13"/>
      <c r="E37" s="13"/>
      <c r="F37" s="13"/>
      <c r="G37" s="14"/>
    </row>
    <row r="38">
      <c r="A38" s="15" t="s">
        <v>6</v>
      </c>
      <c r="B38" s="16"/>
      <c r="C38" s="16"/>
      <c r="D38" s="17"/>
      <c r="E38" s="16"/>
      <c r="F38" s="18"/>
      <c r="G38" s="19" t="s">
        <v>7</v>
      </c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20" t="s">
        <v>8</v>
      </c>
      <c r="B39" s="21"/>
      <c r="C39" s="21"/>
      <c r="D39" s="22"/>
      <c r="E39" s="21"/>
      <c r="F39" s="23"/>
      <c r="G39" s="24">
        <v>44691.0</v>
      </c>
    </row>
    <row r="40">
      <c r="A40" s="15" t="s">
        <v>9</v>
      </c>
      <c r="B40" s="25"/>
      <c r="C40" s="25"/>
      <c r="D40" s="26"/>
      <c r="E40" s="15" t="s">
        <v>10</v>
      </c>
      <c r="F40" s="27"/>
      <c r="G40" s="19" t="s">
        <v>11</v>
      </c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20" t="s">
        <v>12</v>
      </c>
      <c r="B41" s="21"/>
      <c r="C41" s="21"/>
      <c r="D41" s="28"/>
      <c r="E41" s="20" t="s">
        <v>13</v>
      </c>
      <c r="F41" s="23"/>
      <c r="G41" s="29" t="s">
        <v>14</v>
      </c>
    </row>
    <row r="42">
      <c r="A42" s="19" t="s">
        <v>15</v>
      </c>
      <c r="B42" s="19" t="s">
        <v>16</v>
      </c>
      <c r="C42" s="19" t="s">
        <v>17</v>
      </c>
      <c r="D42" s="30" t="s">
        <v>18</v>
      </c>
      <c r="E42" s="15" t="s">
        <v>19</v>
      </c>
      <c r="F42" s="27"/>
      <c r="G42" s="19" t="s">
        <v>20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24">
        <v>44685.0</v>
      </c>
      <c r="B43" s="31">
        <v>205230.0</v>
      </c>
      <c r="C43" s="29" t="s">
        <v>21</v>
      </c>
      <c r="D43" s="32" t="s">
        <v>22</v>
      </c>
      <c r="E43" s="33">
        <v>44685.0</v>
      </c>
      <c r="F43" s="23"/>
      <c r="G43" s="29" t="s">
        <v>23</v>
      </c>
    </row>
    <row r="44">
      <c r="A44" s="19" t="s">
        <v>24</v>
      </c>
      <c r="B44" s="19" t="s">
        <v>25</v>
      </c>
      <c r="C44" s="19" t="s">
        <v>26</v>
      </c>
      <c r="D44" s="30" t="s">
        <v>27</v>
      </c>
      <c r="E44" s="15" t="s">
        <v>28</v>
      </c>
      <c r="F44" s="27"/>
      <c r="G44" s="19" t="s">
        <v>29</v>
      </c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34"/>
      <c r="B45" s="31">
        <v>1.0</v>
      </c>
      <c r="C45" s="29" t="s">
        <v>30</v>
      </c>
      <c r="D45" s="35"/>
      <c r="E45" s="36"/>
      <c r="F45" s="23"/>
      <c r="G45" s="29" t="s">
        <v>31</v>
      </c>
    </row>
    <row r="46">
      <c r="A46" s="15" t="s">
        <v>32</v>
      </c>
      <c r="B46" s="16"/>
      <c r="C46" s="16"/>
      <c r="D46" s="17"/>
      <c r="E46" s="16"/>
      <c r="F46" s="18"/>
      <c r="G46" s="19" t="s">
        <v>33</v>
      </c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37" t="s">
        <v>34</v>
      </c>
      <c r="F47" s="38"/>
      <c r="G47" s="29" t="s">
        <v>35</v>
      </c>
    </row>
    <row r="48">
      <c r="A48" s="39"/>
      <c r="F48" s="38"/>
      <c r="G48" s="19" t="s">
        <v>36</v>
      </c>
    </row>
    <row r="49">
      <c r="A49" s="39"/>
      <c r="F49" s="38"/>
      <c r="G49" s="29" t="s">
        <v>35</v>
      </c>
    </row>
    <row r="50">
      <c r="A50" s="39"/>
      <c r="F50" s="38"/>
      <c r="G50" s="19" t="s">
        <v>37</v>
      </c>
    </row>
    <row r="51">
      <c r="A51" s="39"/>
      <c r="F51" s="38"/>
      <c r="G51" s="29" t="s">
        <v>35</v>
      </c>
    </row>
    <row r="52">
      <c r="A52" s="39"/>
      <c r="F52" s="38"/>
      <c r="G52" s="19" t="s">
        <v>38</v>
      </c>
    </row>
    <row r="53">
      <c r="A53" s="39"/>
      <c r="F53" s="38"/>
      <c r="G53" s="29" t="s">
        <v>35</v>
      </c>
    </row>
    <row r="54">
      <c r="A54" s="39"/>
      <c r="F54" s="38"/>
      <c r="G54" s="40" t="s">
        <v>39</v>
      </c>
    </row>
    <row r="55">
      <c r="A55" s="12"/>
      <c r="B55" s="13"/>
      <c r="C55" s="13"/>
      <c r="D55" s="13"/>
      <c r="E55" s="13"/>
      <c r="F55" s="14"/>
      <c r="G55" s="29" t="s">
        <v>31</v>
      </c>
    </row>
    <row r="56">
      <c r="A56" s="15" t="s">
        <v>40</v>
      </c>
      <c r="B56" s="16"/>
      <c r="C56" s="16"/>
      <c r="D56" s="17"/>
      <c r="E56" s="16"/>
      <c r="F56" s="16"/>
      <c r="G56" s="18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41" t="s">
        <v>41</v>
      </c>
      <c r="D57" s="42"/>
      <c r="G57" s="43"/>
    </row>
    <row r="58">
      <c r="A58" s="41" t="s">
        <v>42</v>
      </c>
      <c r="D58" s="42"/>
      <c r="G58" s="43"/>
    </row>
    <row r="59">
      <c r="A59" s="41" t="s">
        <v>43</v>
      </c>
      <c r="D59" s="42"/>
      <c r="G59" s="43"/>
    </row>
    <row r="60">
      <c r="A60" s="36"/>
      <c r="B60" s="21"/>
      <c r="C60" s="21"/>
      <c r="D60" s="22"/>
      <c r="E60" s="21"/>
      <c r="F60" s="21"/>
      <c r="G60" s="23"/>
    </row>
    <row r="61">
      <c r="D61" s="42"/>
      <c r="E61" s="44" t="s">
        <v>44</v>
      </c>
      <c r="F61" s="45" t="s">
        <v>45</v>
      </c>
    </row>
    <row r="62">
      <c r="D62" s="42"/>
    </row>
    <row r="63">
      <c r="D63" s="42"/>
    </row>
  </sheetData>
  <mergeCells count="6">
    <mergeCell ref="A1:C1"/>
    <mergeCell ref="E2:G2"/>
    <mergeCell ref="A36:B37"/>
    <mergeCell ref="C36:C37"/>
    <mergeCell ref="D36:G37"/>
    <mergeCell ref="A47:F5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49" t="s">
        <v>134</v>
      </c>
      <c r="D1" s="150" t="s">
        <v>135</v>
      </c>
      <c r="E1" s="51" t="s">
        <v>49</v>
      </c>
      <c r="F1" s="52" t="s">
        <v>50</v>
      </c>
      <c r="G1" s="152" t="s">
        <v>137</v>
      </c>
    </row>
    <row r="2">
      <c r="A2" s="53" t="s">
        <v>124</v>
      </c>
      <c r="B2" s="54"/>
      <c r="C2" s="54"/>
      <c r="D2" s="55"/>
      <c r="E2" s="56" t="s">
        <v>52</v>
      </c>
      <c r="F2" s="57" t="s">
        <v>53</v>
      </c>
      <c r="G2" s="58"/>
    </row>
    <row r="3">
      <c r="A3" s="59" t="s">
        <v>54</v>
      </c>
      <c r="B3" s="60"/>
      <c r="C3" s="60"/>
      <c r="D3" s="61">
        <v>80000.0</v>
      </c>
      <c r="E3" s="62" t="s">
        <v>138</v>
      </c>
      <c r="F3" s="63"/>
      <c r="G3" s="64" t="s">
        <v>56</v>
      </c>
    </row>
    <row r="4">
      <c r="A4" s="59" t="s">
        <v>57</v>
      </c>
      <c r="B4" s="60"/>
      <c r="C4" s="60"/>
      <c r="D4" s="65">
        <v>5000.0</v>
      </c>
      <c r="E4" s="66" t="s">
        <v>126</v>
      </c>
      <c r="F4" s="43"/>
      <c r="G4" s="67" t="s">
        <v>59</v>
      </c>
    </row>
    <row r="5">
      <c r="A5" s="59" t="s">
        <v>60</v>
      </c>
      <c r="B5" s="60"/>
      <c r="C5" s="60"/>
      <c r="D5" s="65">
        <v>20000.0</v>
      </c>
      <c r="E5" s="20" t="s">
        <v>61</v>
      </c>
      <c r="F5" s="23"/>
      <c r="G5" s="67" t="s">
        <v>62</v>
      </c>
    </row>
    <row r="6">
      <c r="A6" s="59" t="s">
        <v>63</v>
      </c>
      <c r="B6" s="60"/>
      <c r="C6" s="60"/>
      <c r="D6" s="65">
        <v>5000.0</v>
      </c>
      <c r="E6" s="68" t="s">
        <v>64</v>
      </c>
      <c r="F6" s="58"/>
      <c r="G6" s="69" t="s">
        <v>65</v>
      </c>
    </row>
    <row r="7">
      <c r="A7" s="59" t="s">
        <v>66</v>
      </c>
      <c r="B7" s="60"/>
      <c r="C7" s="60"/>
      <c r="D7" s="65">
        <v>550.0</v>
      </c>
      <c r="E7" s="70" t="s">
        <v>67</v>
      </c>
      <c r="F7" s="71" t="s">
        <v>68</v>
      </c>
      <c r="G7" s="69" t="s">
        <v>69</v>
      </c>
    </row>
    <row r="8">
      <c r="A8" s="59" t="s">
        <v>70</v>
      </c>
      <c r="B8" s="60"/>
      <c r="C8" s="60"/>
      <c r="D8" s="65">
        <v>600.0</v>
      </c>
      <c r="E8" s="70" t="s">
        <v>71</v>
      </c>
      <c r="F8" s="71" t="s">
        <v>72</v>
      </c>
      <c r="G8" s="72"/>
    </row>
    <row r="9">
      <c r="A9" s="59" t="s">
        <v>73</v>
      </c>
      <c r="B9" s="60"/>
      <c r="C9" s="60"/>
      <c r="D9" s="65">
        <v>2000.0</v>
      </c>
      <c r="E9" s="70" t="s">
        <v>74</v>
      </c>
      <c r="F9" s="45" t="s">
        <v>75</v>
      </c>
      <c r="G9" s="72"/>
    </row>
    <row r="10">
      <c r="A10" s="59" t="s">
        <v>76</v>
      </c>
      <c r="B10" s="60"/>
      <c r="C10" s="60"/>
      <c r="D10" s="65">
        <v>1500.0</v>
      </c>
      <c r="E10" s="20" t="s">
        <v>63</v>
      </c>
      <c r="F10" s="73" t="s">
        <v>77</v>
      </c>
      <c r="G10" s="34"/>
    </row>
    <row r="11">
      <c r="A11" s="59" t="s">
        <v>78</v>
      </c>
      <c r="B11" s="60"/>
      <c r="C11" s="60"/>
      <c r="D11" s="65">
        <v>3000.0</v>
      </c>
      <c r="E11" s="68" t="s">
        <v>86</v>
      </c>
      <c r="F11" s="84"/>
      <c r="G11" s="58"/>
    </row>
    <row r="12">
      <c r="A12" s="74"/>
      <c r="B12" s="60"/>
      <c r="C12" s="60"/>
      <c r="D12" s="75"/>
      <c r="E12" s="45" t="s">
        <v>54</v>
      </c>
      <c r="G12" s="88" t="s">
        <v>88</v>
      </c>
    </row>
    <row r="13">
      <c r="A13" s="77" t="s">
        <v>82</v>
      </c>
      <c r="B13" s="78"/>
      <c r="C13" s="78"/>
      <c r="D13" s="79">
        <f>SUM(D3:D12)</f>
        <v>117650</v>
      </c>
      <c r="E13" s="70" t="s">
        <v>90</v>
      </c>
      <c r="G13" s="90" t="s">
        <v>91</v>
      </c>
    </row>
    <row r="14">
      <c r="A14" s="80"/>
      <c r="B14" s="81"/>
      <c r="C14" s="81"/>
      <c r="D14" s="82"/>
      <c r="E14" s="70" t="s">
        <v>93</v>
      </c>
      <c r="G14" s="43"/>
    </row>
    <row r="15">
      <c r="A15" s="83" t="s">
        <v>128</v>
      </c>
      <c r="B15" s="84"/>
      <c r="C15" s="84"/>
      <c r="D15" s="85"/>
      <c r="E15" s="70" t="s">
        <v>63</v>
      </c>
      <c r="G15" s="88" t="s">
        <v>95</v>
      </c>
    </row>
    <row r="16">
      <c r="A16" s="86" t="s">
        <v>87</v>
      </c>
      <c r="D16" s="87">
        <v>14593.73</v>
      </c>
      <c r="E16" s="70" t="s">
        <v>97</v>
      </c>
      <c r="G16" s="88" t="s">
        <v>98</v>
      </c>
    </row>
    <row r="17">
      <c r="A17" s="89" t="s">
        <v>89</v>
      </c>
      <c r="D17" s="87">
        <v>14303.13</v>
      </c>
      <c r="E17" s="70" t="s">
        <v>100</v>
      </c>
      <c r="G17" s="43"/>
    </row>
    <row r="18">
      <c r="A18" s="89" t="s">
        <v>92</v>
      </c>
      <c r="D18" s="42">
        <v>14300.0</v>
      </c>
      <c r="E18" s="94" t="s">
        <v>102</v>
      </c>
      <c r="F18" s="84"/>
      <c r="G18" s="58"/>
    </row>
    <row r="19">
      <c r="A19" s="89" t="s">
        <v>94</v>
      </c>
      <c r="D19" s="42">
        <v>3882.2</v>
      </c>
      <c r="E19" s="95"/>
      <c r="G19" s="43"/>
    </row>
    <row r="20">
      <c r="A20" s="89" t="s">
        <v>96</v>
      </c>
      <c r="D20" s="42">
        <v>2950.0</v>
      </c>
      <c r="E20" s="95"/>
      <c r="G20" s="43"/>
    </row>
    <row r="21">
      <c r="A21" s="89" t="s">
        <v>99</v>
      </c>
      <c r="D21" s="42">
        <v>2791.04</v>
      </c>
      <c r="E21" s="95"/>
      <c r="G21" s="43"/>
    </row>
    <row r="22">
      <c r="A22" s="93" t="s">
        <v>101</v>
      </c>
      <c r="D22" s="42">
        <v>1212.0</v>
      </c>
      <c r="E22" s="95"/>
      <c r="G22" s="43"/>
    </row>
    <row r="23">
      <c r="A23" s="93" t="s">
        <v>103</v>
      </c>
      <c r="D23" s="42">
        <v>1190.0</v>
      </c>
      <c r="E23" s="95"/>
      <c r="G23" s="43"/>
    </row>
    <row r="24">
      <c r="A24" s="93" t="s">
        <v>104</v>
      </c>
      <c r="D24" s="42">
        <v>1141.18</v>
      </c>
      <c r="E24" s="95"/>
      <c r="G24" s="43"/>
    </row>
    <row r="25">
      <c r="A25" s="93" t="s">
        <v>105</v>
      </c>
      <c r="D25" s="42">
        <v>1075.97</v>
      </c>
      <c r="E25" s="95"/>
      <c r="G25" s="43"/>
    </row>
    <row r="26">
      <c r="A26" s="96" t="s">
        <v>106</v>
      </c>
      <c r="D26" s="42">
        <v>950.0</v>
      </c>
      <c r="E26" s="95"/>
      <c r="G26" s="43"/>
    </row>
    <row r="27">
      <c r="A27" s="95"/>
      <c r="D27" s="42"/>
      <c r="E27" s="36"/>
      <c r="F27" s="21"/>
      <c r="G27" s="23"/>
    </row>
    <row r="28">
      <c r="A28" s="97" t="s">
        <v>82</v>
      </c>
      <c r="B28" s="98"/>
      <c r="C28" s="98"/>
      <c r="D28" s="99">
        <f>SUM(D16:D27)</f>
        <v>58389.25</v>
      </c>
      <c r="E28" s="20" t="s">
        <v>107</v>
      </c>
      <c r="F28" s="21"/>
      <c r="G28" s="23"/>
    </row>
    <row r="29">
      <c r="A29" s="100"/>
      <c r="B29" s="101"/>
      <c r="C29" s="101"/>
      <c r="D29" s="102"/>
      <c r="E29" s="103" t="s">
        <v>109</v>
      </c>
      <c r="F29" s="104"/>
      <c r="G29" s="121">
        <v>44691.0</v>
      </c>
    </row>
    <row r="30">
      <c r="A30" s="106" t="s">
        <v>110</v>
      </c>
      <c r="B30" s="84"/>
      <c r="C30" s="84"/>
      <c r="D30" s="107">
        <v>10000.0</v>
      </c>
      <c r="E30" s="108" t="s">
        <v>111</v>
      </c>
      <c r="F30" s="109"/>
      <c r="G30" s="110" t="s">
        <v>112</v>
      </c>
    </row>
    <row r="31">
      <c r="A31" s="70" t="s">
        <v>113</v>
      </c>
      <c r="D31" s="111">
        <v>117650.0</v>
      </c>
      <c r="E31" s="110" t="s">
        <v>114</v>
      </c>
      <c r="F31" s="110" t="s">
        <v>115</v>
      </c>
      <c r="G31" s="110" t="s">
        <v>116</v>
      </c>
    </row>
    <row r="32">
      <c r="A32" s="70" t="s">
        <v>117</v>
      </c>
      <c r="D32" s="111">
        <v>58389.25</v>
      </c>
      <c r="E32" s="112"/>
      <c r="F32" s="110" t="s">
        <v>118</v>
      </c>
      <c r="G32" s="110" t="s">
        <v>119</v>
      </c>
    </row>
    <row r="33">
      <c r="A33" s="20" t="s">
        <v>120</v>
      </c>
      <c r="B33" s="21"/>
      <c r="C33" s="21"/>
      <c r="D33" s="28">
        <f>D30+D31-D32</f>
        <v>69260.75</v>
      </c>
      <c r="E33" s="103" t="s">
        <v>121</v>
      </c>
      <c r="F33" s="104"/>
      <c r="G33" s="113" t="s">
        <v>122</v>
      </c>
    </row>
    <row r="34">
      <c r="A34" s="1" t="s">
        <v>0</v>
      </c>
      <c r="B34" s="2"/>
      <c r="C34" s="2"/>
      <c r="D34" s="3">
        <v>44875.0</v>
      </c>
      <c r="E34" s="4">
        <v>0.3902777777777778</v>
      </c>
      <c r="F34" s="5" t="s">
        <v>1</v>
      </c>
      <c r="G34" s="6" t="s">
        <v>2</v>
      </c>
    </row>
    <row r="35">
      <c r="A35" s="7" t="s">
        <v>3</v>
      </c>
      <c r="B35" s="8"/>
      <c r="C35" s="9" t="s">
        <v>4</v>
      </c>
      <c r="D35" s="10" t="s">
        <v>5</v>
      </c>
      <c r="E35" s="8"/>
      <c r="F35" s="8"/>
      <c r="G35" s="11"/>
    </row>
    <row r="36">
      <c r="A36" s="12"/>
      <c r="B36" s="13"/>
      <c r="C36" s="13"/>
      <c r="D36" s="13"/>
      <c r="E36" s="13"/>
      <c r="F36" s="13"/>
      <c r="G36" s="14"/>
    </row>
    <row r="37">
      <c r="A37" s="15" t="s">
        <v>6</v>
      </c>
      <c r="B37" s="16"/>
      <c r="C37" s="16"/>
      <c r="D37" s="17"/>
      <c r="E37" s="16"/>
      <c r="F37" s="18"/>
      <c r="G37" s="19" t="s">
        <v>7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20" t="s">
        <v>8</v>
      </c>
      <c r="B38" s="21"/>
      <c r="C38" s="21"/>
      <c r="D38" s="22"/>
      <c r="E38" s="21"/>
      <c r="F38" s="23"/>
      <c r="G38" s="24">
        <v>44691.0</v>
      </c>
    </row>
    <row r="39">
      <c r="A39" s="15" t="s">
        <v>9</v>
      </c>
      <c r="B39" s="25"/>
      <c r="C39" s="25"/>
      <c r="D39" s="26"/>
      <c r="E39" s="15" t="s">
        <v>10</v>
      </c>
      <c r="F39" s="27"/>
      <c r="G39" s="19" t="s">
        <v>11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0" t="s">
        <v>12</v>
      </c>
      <c r="B40" s="21"/>
      <c r="C40" s="21"/>
      <c r="D40" s="28"/>
      <c r="E40" s="20" t="s">
        <v>13</v>
      </c>
      <c r="F40" s="23"/>
      <c r="G40" s="29" t="s">
        <v>14</v>
      </c>
    </row>
    <row r="41">
      <c r="A41" s="19" t="s">
        <v>15</v>
      </c>
      <c r="B41" s="19" t="s">
        <v>16</v>
      </c>
      <c r="C41" s="19" t="s">
        <v>17</v>
      </c>
      <c r="D41" s="30" t="s">
        <v>18</v>
      </c>
      <c r="E41" s="15" t="s">
        <v>19</v>
      </c>
      <c r="F41" s="27"/>
      <c r="G41" s="19" t="s">
        <v>20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24">
        <v>44685.0</v>
      </c>
      <c r="B42" s="31">
        <v>205230.0</v>
      </c>
      <c r="C42" s="29" t="s">
        <v>21</v>
      </c>
      <c r="D42" s="32" t="s">
        <v>22</v>
      </c>
      <c r="E42" s="33">
        <v>44685.0</v>
      </c>
      <c r="F42" s="23"/>
      <c r="G42" s="29" t="s">
        <v>23</v>
      </c>
    </row>
    <row r="43">
      <c r="A43" s="19" t="s">
        <v>24</v>
      </c>
      <c r="B43" s="19" t="s">
        <v>25</v>
      </c>
      <c r="C43" s="19" t="s">
        <v>26</v>
      </c>
      <c r="D43" s="30" t="s">
        <v>27</v>
      </c>
      <c r="E43" s="15" t="s">
        <v>28</v>
      </c>
      <c r="F43" s="27"/>
      <c r="G43" s="19" t="s">
        <v>29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34"/>
      <c r="B44" s="31">
        <v>1.0</v>
      </c>
      <c r="C44" s="29" t="s">
        <v>30</v>
      </c>
      <c r="D44" s="35"/>
      <c r="E44" s="36"/>
      <c r="F44" s="23"/>
      <c r="G44" s="29" t="s">
        <v>31</v>
      </c>
    </row>
    <row r="45">
      <c r="A45" s="125" t="s">
        <v>32</v>
      </c>
      <c r="B45" s="84"/>
      <c r="C45" s="84"/>
      <c r="D45" s="126"/>
      <c r="E45" s="84"/>
      <c r="F45" s="58"/>
      <c r="G45" s="19" t="s">
        <v>33</v>
      </c>
    </row>
    <row r="46">
      <c r="A46" s="37" t="s">
        <v>139</v>
      </c>
      <c r="F46" s="38"/>
      <c r="G46" s="29" t="s">
        <v>35</v>
      </c>
    </row>
    <row r="47">
      <c r="A47" s="39"/>
      <c r="F47" s="38"/>
      <c r="G47" s="19" t="s">
        <v>36</v>
      </c>
    </row>
    <row r="48">
      <c r="A48" s="39"/>
      <c r="F48" s="38"/>
      <c r="G48" s="29" t="s">
        <v>35</v>
      </c>
    </row>
    <row r="49">
      <c r="A49" s="39"/>
      <c r="F49" s="38"/>
      <c r="G49" s="19" t="s">
        <v>37</v>
      </c>
    </row>
    <row r="50">
      <c r="A50" s="39"/>
      <c r="F50" s="38"/>
      <c r="G50" s="29" t="s">
        <v>35</v>
      </c>
    </row>
    <row r="51">
      <c r="A51" s="39"/>
      <c r="F51" s="38"/>
      <c r="G51" s="19" t="s">
        <v>38</v>
      </c>
    </row>
    <row r="52">
      <c r="A52" s="39"/>
      <c r="F52" s="38"/>
      <c r="G52" s="29" t="s">
        <v>35</v>
      </c>
    </row>
    <row r="53">
      <c r="A53" s="39"/>
      <c r="F53" s="38"/>
      <c r="G53" s="40" t="s">
        <v>39</v>
      </c>
    </row>
    <row r="54">
      <c r="A54" s="12"/>
      <c r="B54" s="13"/>
      <c r="C54" s="13"/>
      <c r="D54" s="13"/>
      <c r="E54" s="13"/>
      <c r="F54" s="14"/>
      <c r="G54" s="29" t="s">
        <v>31</v>
      </c>
    </row>
    <row r="55">
      <c r="A55" s="15" t="s">
        <v>40</v>
      </c>
      <c r="B55" s="16"/>
      <c r="C55" s="16"/>
      <c r="D55" s="17"/>
      <c r="E55" s="16"/>
      <c r="F55" s="16"/>
      <c r="G55" s="18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41" t="s">
        <v>41</v>
      </c>
      <c r="D56" s="42"/>
      <c r="G56" s="43"/>
    </row>
    <row r="57">
      <c r="A57" s="41" t="s">
        <v>42</v>
      </c>
      <c r="D57" s="42"/>
      <c r="G57" s="43"/>
    </row>
    <row r="58">
      <c r="A58" s="41" t="s">
        <v>43</v>
      </c>
      <c r="D58" s="42"/>
      <c r="G58" s="43"/>
    </row>
    <row r="59">
      <c r="A59" s="36"/>
      <c r="B59" s="21"/>
      <c r="C59" s="21"/>
      <c r="D59" s="22"/>
      <c r="E59" s="21"/>
      <c r="F59" s="21"/>
      <c r="G59" s="23"/>
    </row>
    <row r="60">
      <c r="D60" s="42"/>
      <c r="E60" s="44" t="s">
        <v>44</v>
      </c>
      <c r="F60" s="45" t="s">
        <v>45</v>
      </c>
    </row>
    <row r="61">
      <c r="D61" s="42"/>
    </row>
    <row r="62">
      <c r="D62" s="42"/>
    </row>
  </sheetData>
  <mergeCells count="5">
    <mergeCell ref="A1:C1"/>
    <mergeCell ref="A35:B36"/>
    <mergeCell ref="C35:C36"/>
    <mergeCell ref="D35:G36"/>
    <mergeCell ref="A46:F54"/>
  </mergeCells>
  <hyperlinks>
    <hyperlink r:id="rId1" ref="E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46" t="s">
        <v>46</v>
      </c>
      <c r="C1" s="47" t="s">
        <v>47</v>
      </c>
      <c r="D1" s="48"/>
      <c r="E1" s="49"/>
      <c r="F1" s="50" t="s">
        <v>48</v>
      </c>
    </row>
    <row r="2">
      <c r="C2" s="51" t="s">
        <v>49</v>
      </c>
      <c r="D2" s="52" t="s">
        <v>50</v>
      </c>
      <c r="E2" s="49"/>
    </row>
    <row r="3">
      <c r="A3" s="53" t="s">
        <v>124</v>
      </c>
      <c r="B3" s="54"/>
      <c r="C3" s="54"/>
      <c r="D3" s="55"/>
      <c r="E3" s="94" t="s">
        <v>102</v>
      </c>
      <c r="F3" s="57"/>
      <c r="G3" s="58"/>
    </row>
    <row r="4">
      <c r="A4" s="59" t="s">
        <v>54</v>
      </c>
      <c r="B4" s="60"/>
      <c r="C4" s="60"/>
      <c r="D4" s="61">
        <v>80000.0</v>
      </c>
      <c r="E4" s="153"/>
      <c r="F4" s="49"/>
      <c r="G4" s="154"/>
    </row>
    <row r="5">
      <c r="A5" s="59" t="s">
        <v>57</v>
      </c>
      <c r="B5" s="60"/>
      <c r="C5" s="60"/>
      <c r="D5" s="61">
        <v>5000.0</v>
      </c>
      <c r="E5" s="66"/>
      <c r="G5" s="155"/>
    </row>
    <row r="6">
      <c r="A6" s="59" t="s">
        <v>60</v>
      </c>
      <c r="B6" s="60"/>
      <c r="C6" s="60"/>
      <c r="D6" s="61">
        <v>20000.0</v>
      </c>
      <c r="E6" s="70"/>
      <c r="G6" s="155"/>
    </row>
    <row r="7">
      <c r="A7" s="59" t="s">
        <v>63</v>
      </c>
      <c r="B7" s="60"/>
      <c r="C7" s="60"/>
      <c r="D7" s="61">
        <v>5000.0</v>
      </c>
      <c r="E7" s="156"/>
      <c r="G7" s="71"/>
    </row>
    <row r="8">
      <c r="A8" s="59" t="s">
        <v>66</v>
      </c>
      <c r="B8" s="60"/>
      <c r="C8" s="60"/>
      <c r="D8" s="61">
        <v>550.0</v>
      </c>
      <c r="E8" s="70"/>
      <c r="F8" s="45"/>
      <c r="G8" s="71"/>
    </row>
    <row r="9">
      <c r="A9" s="59" t="s">
        <v>70</v>
      </c>
      <c r="B9" s="60"/>
      <c r="C9" s="60"/>
      <c r="D9" s="61">
        <v>600.0</v>
      </c>
      <c r="E9" s="70"/>
      <c r="F9" s="45"/>
      <c r="G9" s="43"/>
    </row>
    <row r="10">
      <c r="A10" s="59" t="s">
        <v>73</v>
      </c>
      <c r="B10" s="60"/>
      <c r="C10" s="60"/>
      <c r="D10" s="61">
        <v>2000.0</v>
      </c>
      <c r="E10" s="70"/>
      <c r="G10" s="43"/>
    </row>
    <row r="11">
      <c r="A11" s="59" t="s">
        <v>76</v>
      </c>
      <c r="B11" s="60"/>
      <c r="C11" s="60"/>
      <c r="D11" s="61">
        <v>1500.0</v>
      </c>
      <c r="E11" s="70"/>
      <c r="F11" s="45"/>
      <c r="G11" s="43"/>
    </row>
    <row r="12">
      <c r="A12" s="59" t="s">
        <v>78</v>
      </c>
      <c r="B12" s="60"/>
      <c r="C12" s="60"/>
      <c r="D12" s="61">
        <v>3000.0</v>
      </c>
      <c r="E12" s="156"/>
      <c r="G12" s="43"/>
    </row>
    <row r="13">
      <c r="A13" s="74"/>
      <c r="B13" s="60"/>
      <c r="C13" s="60"/>
      <c r="D13" s="48"/>
      <c r="E13" s="95"/>
      <c r="G13" s="88"/>
    </row>
    <row r="14">
      <c r="A14" s="77" t="s">
        <v>82</v>
      </c>
      <c r="B14" s="78"/>
      <c r="C14" s="78"/>
      <c r="D14" s="157">
        <f>SUM(D4:D13)</f>
        <v>117650</v>
      </c>
      <c r="E14" s="70"/>
      <c r="G14" s="90"/>
    </row>
    <row r="15">
      <c r="A15" s="80"/>
      <c r="B15" s="81"/>
      <c r="C15" s="81"/>
      <c r="D15" s="158"/>
      <c r="E15" s="70"/>
      <c r="G15" s="43"/>
    </row>
    <row r="16">
      <c r="A16" s="83" t="s">
        <v>128</v>
      </c>
      <c r="B16" s="84"/>
      <c r="C16" s="84"/>
      <c r="D16" s="85"/>
      <c r="E16" s="70"/>
      <c r="G16" s="88"/>
    </row>
    <row r="17">
      <c r="A17" s="86" t="s">
        <v>87</v>
      </c>
      <c r="D17" s="87">
        <v>14593.73</v>
      </c>
      <c r="E17" s="70"/>
      <c r="G17" s="88"/>
    </row>
    <row r="18">
      <c r="A18" s="89" t="s">
        <v>89</v>
      </c>
      <c r="D18" s="87">
        <v>14303.13</v>
      </c>
      <c r="E18" s="70"/>
      <c r="G18" s="43"/>
    </row>
    <row r="19">
      <c r="A19" s="89" t="s">
        <v>92</v>
      </c>
      <c r="D19" s="87">
        <v>14300.0</v>
      </c>
      <c r="E19" s="95"/>
      <c r="G19" s="43"/>
    </row>
    <row r="20">
      <c r="A20" s="89" t="s">
        <v>94</v>
      </c>
      <c r="D20" s="87">
        <v>3882.2</v>
      </c>
      <c r="E20" s="95"/>
      <c r="G20" s="43"/>
    </row>
    <row r="21">
      <c r="A21" s="89" t="s">
        <v>96</v>
      </c>
      <c r="D21" s="87">
        <v>2950.0</v>
      </c>
      <c r="E21" s="36"/>
      <c r="F21" s="21"/>
      <c r="G21" s="23"/>
    </row>
    <row r="22">
      <c r="A22" s="89" t="s">
        <v>99</v>
      </c>
      <c r="D22" s="87">
        <v>2791.04</v>
      </c>
      <c r="E22" s="95"/>
      <c r="G22" s="43"/>
    </row>
    <row r="23">
      <c r="A23" s="93" t="s">
        <v>101</v>
      </c>
      <c r="D23" s="87">
        <v>1212.0</v>
      </c>
      <c r="E23" s="95"/>
      <c r="G23" s="43"/>
    </row>
    <row r="24">
      <c r="A24" s="93" t="s">
        <v>103</v>
      </c>
      <c r="D24" s="87">
        <v>1190.0</v>
      </c>
      <c r="E24" s="36"/>
      <c r="F24" s="21"/>
      <c r="G24" s="23"/>
    </row>
    <row r="25">
      <c r="A25" s="93" t="s">
        <v>104</v>
      </c>
      <c r="D25" s="87">
        <v>1141.18</v>
      </c>
      <c r="E25" s="122" t="s">
        <v>107</v>
      </c>
      <c r="F25" s="140"/>
      <c r="G25" s="123"/>
    </row>
    <row r="26">
      <c r="A26" s="93" t="s">
        <v>105</v>
      </c>
      <c r="D26" s="87">
        <v>1075.97</v>
      </c>
      <c r="E26" s="103" t="s">
        <v>109</v>
      </c>
      <c r="F26" s="104"/>
      <c r="G26" s="105">
        <v>44691.0</v>
      </c>
    </row>
    <row r="27">
      <c r="A27" s="96" t="s">
        <v>106</v>
      </c>
      <c r="D27" s="87">
        <v>950.0</v>
      </c>
      <c r="E27" s="108" t="s">
        <v>111</v>
      </c>
      <c r="F27" s="109"/>
      <c r="G27" s="110" t="s">
        <v>112</v>
      </c>
    </row>
    <row r="28">
      <c r="A28" s="95"/>
      <c r="D28" s="87"/>
      <c r="E28" s="110" t="s">
        <v>114</v>
      </c>
      <c r="F28" s="110" t="s">
        <v>115</v>
      </c>
      <c r="G28" s="110" t="s">
        <v>116</v>
      </c>
    </row>
    <row r="29">
      <c r="A29" s="66" t="s">
        <v>82</v>
      </c>
      <c r="B29" s="101"/>
      <c r="C29" s="101"/>
      <c r="D29" s="159">
        <f>SUM(D17:D28)</f>
        <v>58389.25</v>
      </c>
      <c r="E29" s="112"/>
      <c r="F29" s="110" t="s">
        <v>118</v>
      </c>
      <c r="G29" s="110" t="s">
        <v>119</v>
      </c>
    </row>
    <row r="30">
      <c r="A30" s="97"/>
      <c r="B30" s="98"/>
      <c r="C30" s="98"/>
      <c r="D30" s="99"/>
      <c r="E30" s="160" t="s">
        <v>121</v>
      </c>
      <c r="F30" s="104"/>
      <c r="G30" s="113" t="s">
        <v>122</v>
      </c>
    </row>
    <row r="31">
      <c r="A31" s="161"/>
      <c r="D31" s="162"/>
    </row>
    <row r="32">
      <c r="A32" s="1" t="s">
        <v>0</v>
      </c>
      <c r="B32" s="2"/>
      <c r="C32" s="2"/>
      <c r="D32" s="3">
        <v>44875.0</v>
      </c>
      <c r="E32" s="4">
        <v>0.3902777777777778</v>
      </c>
      <c r="F32" s="5" t="s">
        <v>1</v>
      </c>
      <c r="G32" s="6" t="s">
        <v>2</v>
      </c>
    </row>
    <row r="33">
      <c r="A33" s="7" t="s">
        <v>3</v>
      </c>
      <c r="B33" s="8"/>
      <c r="C33" s="9" t="s">
        <v>4</v>
      </c>
      <c r="D33" s="10" t="s">
        <v>5</v>
      </c>
      <c r="E33" s="8"/>
      <c r="F33" s="8"/>
      <c r="G33" s="11"/>
    </row>
    <row r="34">
      <c r="A34" s="12"/>
      <c r="B34" s="13"/>
      <c r="C34" s="13"/>
      <c r="D34" s="13"/>
      <c r="E34" s="13"/>
      <c r="F34" s="13"/>
      <c r="G34" s="14"/>
    </row>
    <row r="35">
      <c r="A35" s="15" t="s">
        <v>6</v>
      </c>
      <c r="B35" s="16"/>
      <c r="C35" s="16"/>
      <c r="D35" s="17"/>
      <c r="E35" s="16"/>
      <c r="F35" s="18"/>
      <c r="G35" s="19" t="s">
        <v>7</v>
      </c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20" t="s">
        <v>8</v>
      </c>
      <c r="B36" s="21"/>
      <c r="C36" s="21"/>
      <c r="D36" s="22"/>
      <c r="E36" s="21"/>
      <c r="F36" s="23"/>
      <c r="G36" s="24">
        <v>44691.0</v>
      </c>
    </row>
    <row r="37">
      <c r="A37" s="15" t="s">
        <v>9</v>
      </c>
      <c r="B37" s="25"/>
      <c r="C37" s="25"/>
      <c r="D37" s="26"/>
      <c r="E37" s="15" t="s">
        <v>10</v>
      </c>
      <c r="F37" s="27"/>
      <c r="G37" s="19" t="s">
        <v>11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20" t="s">
        <v>12</v>
      </c>
      <c r="B38" s="21"/>
      <c r="C38" s="21"/>
      <c r="D38" s="28"/>
      <c r="E38" s="20" t="s">
        <v>13</v>
      </c>
      <c r="F38" s="23"/>
      <c r="G38" s="29" t="s">
        <v>14</v>
      </c>
    </row>
    <row r="39">
      <c r="A39" s="19" t="s">
        <v>15</v>
      </c>
      <c r="B39" s="19" t="s">
        <v>16</v>
      </c>
      <c r="C39" s="19" t="s">
        <v>17</v>
      </c>
      <c r="D39" s="30" t="s">
        <v>18</v>
      </c>
      <c r="E39" s="15" t="s">
        <v>19</v>
      </c>
      <c r="F39" s="27"/>
      <c r="G39" s="19" t="s">
        <v>20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4">
        <v>44685.0</v>
      </c>
      <c r="B40" s="31">
        <v>205230.0</v>
      </c>
      <c r="C40" s="29" t="s">
        <v>21</v>
      </c>
      <c r="D40" s="32" t="s">
        <v>22</v>
      </c>
      <c r="E40" s="33">
        <v>44685.0</v>
      </c>
      <c r="F40" s="23"/>
      <c r="G40" s="29" t="s">
        <v>23</v>
      </c>
    </row>
    <row r="41">
      <c r="A41" s="19" t="s">
        <v>24</v>
      </c>
      <c r="B41" s="19" t="s">
        <v>25</v>
      </c>
      <c r="C41" s="19" t="s">
        <v>26</v>
      </c>
      <c r="D41" s="30" t="s">
        <v>27</v>
      </c>
      <c r="E41" s="15" t="s">
        <v>28</v>
      </c>
      <c r="F41" s="27"/>
      <c r="G41" s="19" t="s">
        <v>29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34"/>
      <c r="B42" s="31">
        <v>1.0</v>
      </c>
      <c r="C42" s="29" t="s">
        <v>30</v>
      </c>
      <c r="D42" s="35"/>
      <c r="E42" s="36"/>
      <c r="F42" s="23"/>
      <c r="G42" s="29" t="s">
        <v>31</v>
      </c>
    </row>
    <row r="43">
      <c r="A43" s="15" t="s">
        <v>32</v>
      </c>
      <c r="B43" s="16"/>
      <c r="C43" s="16"/>
      <c r="D43" s="17"/>
      <c r="E43" s="16"/>
      <c r="F43" s="18"/>
      <c r="G43" s="19" t="s">
        <v>33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37" t="s">
        <v>34</v>
      </c>
      <c r="F44" s="38"/>
      <c r="G44" s="29" t="s">
        <v>35</v>
      </c>
    </row>
    <row r="45">
      <c r="A45" s="39"/>
      <c r="F45" s="38"/>
      <c r="G45" s="19" t="s">
        <v>36</v>
      </c>
    </row>
    <row r="46">
      <c r="A46" s="39"/>
      <c r="F46" s="38"/>
      <c r="G46" s="29" t="s">
        <v>35</v>
      </c>
    </row>
    <row r="47">
      <c r="A47" s="39"/>
      <c r="F47" s="38"/>
      <c r="G47" s="19" t="s">
        <v>37</v>
      </c>
    </row>
    <row r="48">
      <c r="A48" s="39"/>
      <c r="F48" s="38"/>
      <c r="G48" s="29" t="s">
        <v>35</v>
      </c>
    </row>
    <row r="49">
      <c r="A49" s="39"/>
      <c r="F49" s="38"/>
      <c r="G49" s="19" t="s">
        <v>38</v>
      </c>
    </row>
    <row r="50">
      <c r="A50" s="39"/>
      <c r="F50" s="38"/>
      <c r="G50" s="29" t="s">
        <v>35</v>
      </c>
    </row>
    <row r="51">
      <c r="A51" s="39"/>
      <c r="F51" s="38"/>
      <c r="G51" s="40" t="s">
        <v>39</v>
      </c>
    </row>
    <row r="52">
      <c r="A52" s="12"/>
      <c r="B52" s="13"/>
      <c r="C52" s="13"/>
      <c r="D52" s="13"/>
      <c r="E52" s="13"/>
      <c r="F52" s="14"/>
      <c r="G52" s="29" t="s">
        <v>31</v>
      </c>
    </row>
    <row r="53">
      <c r="A53" s="15" t="s">
        <v>40</v>
      </c>
      <c r="B53" s="16"/>
      <c r="C53" s="16"/>
      <c r="D53" s="17"/>
      <c r="E53" s="16"/>
      <c r="F53" s="16"/>
      <c r="G53" s="18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41" t="s">
        <v>41</v>
      </c>
      <c r="D54" s="42"/>
      <c r="G54" s="43"/>
    </row>
    <row r="55">
      <c r="A55" s="41" t="s">
        <v>42</v>
      </c>
      <c r="D55" s="42"/>
      <c r="G55" s="43"/>
    </row>
    <row r="56">
      <c r="A56" s="41" t="s">
        <v>43</v>
      </c>
      <c r="D56" s="42"/>
      <c r="G56" s="43"/>
    </row>
    <row r="57">
      <c r="A57" s="36"/>
      <c r="B57" s="21"/>
      <c r="C57" s="21"/>
      <c r="D57" s="22"/>
      <c r="E57" s="21"/>
      <c r="F57" s="21"/>
      <c r="G57" s="23"/>
    </row>
    <row r="58">
      <c r="D58" s="42"/>
      <c r="E58" s="44" t="s">
        <v>44</v>
      </c>
      <c r="F58" s="45" t="s">
        <v>45</v>
      </c>
    </row>
    <row r="59">
      <c r="D59" s="42"/>
    </row>
    <row r="60">
      <c r="D60" s="42"/>
    </row>
  </sheetData>
  <mergeCells count="6">
    <mergeCell ref="A1:B2"/>
    <mergeCell ref="F1:G2"/>
    <mergeCell ref="A33:B34"/>
    <mergeCell ref="C33:C34"/>
    <mergeCell ref="D33:G34"/>
    <mergeCell ref="A44:F5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46" t="s">
        <v>46</v>
      </c>
      <c r="C1" s="47" t="s">
        <v>47</v>
      </c>
      <c r="D1" s="48"/>
      <c r="E1" s="49"/>
      <c r="F1" s="50" t="s">
        <v>48</v>
      </c>
    </row>
    <row r="2">
      <c r="C2" s="51" t="s">
        <v>49</v>
      </c>
      <c r="D2" s="52" t="s">
        <v>50</v>
      </c>
      <c r="E2" s="49"/>
    </row>
    <row r="3">
      <c r="A3" s="53" t="s">
        <v>102</v>
      </c>
      <c r="B3" s="54"/>
      <c r="C3" s="54"/>
      <c r="D3" s="55"/>
      <c r="E3" s="163"/>
      <c r="F3" s="57"/>
      <c r="G3" s="58"/>
    </row>
    <row r="4">
      <c r="A4" s="59"/>
      <c r="B4" s="60"/>
      <c r="C4" s="60"/>
      <c r="D4" s="61"/>
      <c r="E4" s="164"/>
      <c r="F4" s="49"/>
      <c r="G4" s="154"/>
    </row>
    <row r="5">
      <c r="A5" s="59"/>
      <c r="B5" s="60"/>
      <c r="C5" s="60"/>
      <c r="D5" s="61"/>
      <c r="E5" s="100"/>
      <c r="G5" s="155"/>
    </row>
    <row r="6">
      <c r="A6" s="59"/>
      <c r="B6" s="60"/>
      <c r="C6" s="60"/>
      <c r="D6" s="61"/>
      <c r="E6" s="45"/>
      <c r="G6" s="155"/>
    </row>
    <row r="7">
      <c r="A7" s="59"/>
      <c r="B7" s="60"/>
      <c r="C7" s="60"/>
      <c r="D7" s="61"/>
      <c r="E7" s="165"/>
      <c r="G7" s="71"/>
    </row>
    <row r="8">
      <c r="A8" s="59"/>
      <c r="B8" s="60"/>
      <c r="C8" s="60"/>
      <c r="D8" s="61"/>
      <c r="E8" s="45"/>
      <c r="G8" s="71"/>
    </row>
    <row r="9">
      <c r="A9" s="59"/>
      <c r="B9" s="60"/>
      <c r="C9" s="60"/>
      <c r="D9" s="61"/>
      <c r="E9" s="45"/>
      <c r="G9" s="43"/>
    </row>
    <row r="10">
      <c r="A10" s="59"/>
      <c r="B10" s="60"/>
      <c r="C10" s="60"/>
      <c r="D10" s="61"/>
      <c r="E10" s="45"/>
      <c r="G10" s="43"/>
    </row>
    <row r="11">
      <c r="A11" s="59"/>
      <c r="B11" s="60"/>
      <c r="C11" s="60"/>
      <c r="D11" s="61"/>
      <c r="E11" s="45"/>
      <c r="G11" s="43"/>
    </row>
    <row r="12">
      <c r="A12" s="59"/>
      <c r="B12" s="60"/>
      <c r="C12" s="60"/>
      <c r="D12" s="61"/>
      <c r="E12" s="165"/>
      <c r="G12" s="43"/>
    </row>
    <row r="13">
      <c r="A13" s="74"/>
      <c r="B13" s="60"/>
      <c r="C13" s="60"/>
      <c r="D13" s="48"/>
      <c r="G13" s="88"/>
    </row>
    <row r="14">
      <c r="A14" s="77"/>
      <c r="B14" s="78"/>
      <c r="C14" s="78"/>
      <c r="D14" s="157"/>
      <c r="E14" s="45"/>
      <c r="G14" s="90"/>
    </row>
    <row r="15">
      <c r="A15" s="74"/>
      <c r="B15" s="60"/>
      <c r="C15" s="60"/>
      <c r="D15" s="48"/>
      <c r="E15" s="45"/>
      <c r="G15" s="43"/>
    </row>
    <row r="16">
      <c r="A16" s="166"/>
      <c r="D16" s="42"/>
      <c r="E16" s="45"/>
      <c r="G16" s="88"/>
    </row>
    <row r="17">
      <c r="A17" s="86"/>
      <c r="D17" s="42"/>
      <c r="E17" s="45"/>
      <c r="G17" s="88"/>
    </row>
    <row r="18">
      <c r="A18" s="89"/>
      <c r="D18" s="42"/>
      <c r="E18" s="45"/>
      <c r="G18" s="43"/>
    </row>
    <row r="19">
      <c r="A19" s="89"/>
      <c r="D19" s="42"/>
      <c r="G19" s="43"/>
    </row>
    <row r="20">
      <c r="A20" s="89"/>
      <c r="D20" s="42"/>
      <c r="G20" s="43"/>
    </row>
    <row r="21">
      <c r="A21" s="89"/>
      <c r="D21" s="42"/>
      <c r="G21" s="43"/>
    </row>
    <row r="22">
      <c r="A22" s="89"/>
      <c r="D22" s="42"/>
      <c r="G22" s="43"/>
    </row>
    <row r="23">
      <c r="A23" s="93"/>
      <c r="D23" s="42"/>
      <c r="G23" s="43"/>
    </row>
    <row r="24">
      <c r="A24" s="93"/>
      <c r="D24" s="42"/>
      <c r="G24" s="43"/>
    </row>
    <row r="25">
      <c r="A25" s="93"/>
      <c r="D25" s="42"/>
      <c r="E25" s="45"/>
      <c r="G25" s="43"/>
    </row>
    <row r="26">
      <c r="A26" s="93"/>
      <c r="D26" s="42"/>
      <c r="E26" s="100"/>
      <c r="F26" s="101"/>
      <c r="G26" s="167"/>
    </row>
    <row r="27">
      <c r="A27" s="96"/>
      <c r="D27" s="42"/>
      <c r="E27" s="44"/>
      <c r="F27" s="112"/>
      <c r="G27" s="168"/>
    </row>
    <row r="28">
      <c r="A28" s="95"/>
      <c r="D28" s="42"/>
      <c r="E28" s="44"/>
      <c r="F28" s="44"/>
      <c r="G28" s="168"/>
    </row>
    <row r="29">
      <c r="A29" s="66"/>
      <c r="B29" s="101"/>
      <c r="C29" s="101"/>
      <c r="D29" s="102"/>
      <c r="E29" s="112"/>
      <c r="F29" s="44"/>
      <c r="G29" s="168"/>
    </row>
    <row r="30">
      <c r="A30" s="97"/>
      <c r="B30" s="98"/>
      <c r="C30" s="98"/>
      <c r="D30" s="169"/>
      <c r="E30" s="144"/>
      <c r="F30" s="98"/>
      <c r="G30" s="145"/>
    </row>
    <row r="31">
      <c r="A31" s="45"/>
      <c r="D31" s="42"/>
      <c r="E31" s="147"/>
    </row>
    <row r="32">
      <c r="A32" s="1" t="s">
        <v>0</v>
      </c>
      <c r="B32" s="2"/>
      <c r="C32" s="2"/>
      <c r="D32" s="3">
        <v>44875.0</v>
      </c>
      <c r="E32" s="4">
        <v>0.3902777777777778</v>
      </c>
      <c r="F32" s="5" t="s">
        <v>1</v>
      </c>
      <c r="G32" s="6" t="s">
        <v>2</v>
      </c>
    </row>
    <row r="33">
      <c r="A33" s="7" t="s">
        <v>3</v>
      </c>
      <c r="B33" s="8"/>
      <c r="C33" s="9" t="s">
        <v>4</v>
      </c>
      <c r="D33" s="10" t="s">
        <v>5</v>
      </c>
      <c r="E33" s="8"/>
      <c r="F33" s="8"/>
      <c r="G33" s="11"/>
    </row>
    <row r="34">
      <c r="A34" s="12"/>
      <c r="B34" s="13"/>
      <c r="C34" s="13"/>
      <c r="D34" s="13"/>
      <c r="E34" s="13"/>
      <c r="F34" s="13"/>
      <c r="G34" s="14"/>
    </row>
    <row r="35">
      <c r="A35" s="15" t="s">
        <v>6</v>
      </c>
      <c r="B35" s="16"/>
      <c r="C35" s="16"/>
      <c r="D35" s="17"/>
      <c r="E35" s="16"/>
      <c r="F35" s="18"/>
      <c r="G35" s="19" t="s">
        <v>7</v>
      </c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20" t="s">
        <v>8</v>
      </c>
      <c r="B36" s="21"/>
      <c r="C36" s="21"/>
      <c r="D36" s="22"/>
      <c r="E36" s="21"/>
      <c r="F36" s="23"/>
      <c r="G36" s="24">
        <v>44691.0</v>
      </c>
    </row>
    <row r="37">
      <c r="A37" s="15" t="s">
        <v>9</v>
      </c>
      <c r="B37" s="25"/>
      <c r="C37" s="25"/>
      <c r="D37" s="26"/>
      <c r="E37" s="15" t="s">
        <v>10</v>
      </c>
      <c r="F37" s="27"/>
      <c r="G37" s="19" t="s">
        <v>11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20" t="s">
        <v>12</v>
      </c>
      <c r="B38" s="21"/>
      <c r="C38" s="21"/>
      <c r="D38" s="28"/>
      <c r="E38" s="20" t="s">
        <v>13</v>
      </c>
      <c r="F38" s="23"/>
      <c r="G38" s="29" t="s">
        <v>14</v>
      </c>
    </row>
    <row r="39">
      <c r="A39" s="19" t="s">
        <v>15</v>
      </c>
      <c r="B39" s="19" t="s">
        <v>16</v>
      </c>
      <c r="C39" s="19" t="s">
        <v>17</v>
      </c>
      <c r="D39" s="30" t="s">
        <v>18</v>
      </c>
      <c r="E39" s="15" t="s">
        <v>19</v>
      </c>
      <c r="F39" s="27"/>
      <c r="G39" s="19" t="s">
        <v>20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4">
        <v>44685.0</v>
      </c>
      <c r="B40" s="31">
        <v>205230.0</v>
      </c>
      <c r="C40" s="29" t="s">
        <v>21</v>
      </c>
      <c r="D40" s="32" t="s">
        <v>22</v>
      </c>
      <c r="E40" s="33">
        <v>44685.0</v>
      </c>
      <c r="F40" s="23"/>
      <c r="G40" s="29" t="s">
        <v>23</v>
      </c>
    </row>
    <row r="41">
      <c r="A41" s="19" t="s">
        <v>24</v>
      </c>
      <c r="B41" s="19" t="s">
        <v>25</v>
      </c>
      <c r="C41" s="19" t="s">
        <v>26</v>
      </c>
      <c r="D41" s="30" t="s">
        <v>27</v>
      </c>
      <c r="E41" s="15" t="s">
        <v>28</v>
      </c>
      <c r="F41" s="27"/>
      <c r="G41" s="19" t="s">
        <v>29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34"/>
      <c r="B42" s="31">
        <v>1.0</v>
      </c>
      <c r="C42" s="29" t="s">
        <v>30</v>
      </c>
      <c r="D42" s="35"/>
      <c r="E42" s="36"/>
      <c r="F42" s="23"/>
      <c r="G42" s="29" t="s">
        <v>31</v>
      </c>
    </row>
    <row r="43">
      <c r="A43" s="15" t="s">
        <v>32</v>
      </c>
      <c r="B43" s="16"/>
      <c r="C43" s="16"/>
      <c r="D43" s="17"/>
      <c r="E43" s="16"/>
      <c r="F43" s="18"/>
      <c r="G43" s="19" t="s">
        <v>33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37" t="s">
        <v>34</v>
      </c>
      <c r="F44" s="38"/>
      <c r="G44" s="29" t="s">
        <v>35</v>
      </c>
    </row>
    <row r="45">
      <c r="A45" s="39"/>
      <c r="F45" s="38"/>
      <c r="G45" s="19" t="s">
        <v>36</v>
      </c>
    </row>
    <row r="46">
      <c r="A46" s="39"/>
      <c r="F46" s="38"/>
      <c r="G46" s="29" t="s">
        <v>35</v>
      </c>
    </row>
    <row r="47">
      <c r="A47" s="39"/>
      <c r="F47" s="38"/>
      <c r="G47" s="19" t="s">
        <v>37</v>
      </c>
    </row>
    <row r="48">
      <c r="A48" s="39"/>
      <c r="F48" s="38"/>
      <c r="G48" s="29" t="s">
        <v>35</v>
      </c>
    </row>
    <row r="49">
      <c r="A49" s="39"/>
      <c r="F49" s="38"/>
      <c r="G49" s="19" t="s">
        <v>38</v>
      </c>
    </row>
    <row r="50">
      <c r="A50" s="39"/>
      <c r="F50" s="38"/>
      <c r="G50" s="29" t="s">
        <v>35</v>
      </c>
    </row>
    <row r="51">
      <c r="A51" s="39"/>
      <c r="F51" s="38"/>
      <c r="G51" s="40" t="s">
        <v>39</v>
      </c>
    </row>
    <row r="52">
      <c r="A52" s="12"/>
      <c r="B52" s="13"/>
      <c r="C52" s="13"/>
      <c r="D52" s="13"/>
      <c r="E52" s="13"/>
      <c r="F52" s="14"/>
      <c r="G52" s="29" t="s">
        <v>31</v>
      </c>
    </row>
    <row r="53">
      <c r="A53" s="15" t="s">
        <v>40</v>
      </c>
      <c r="B53" s="16"/>
      <c r="C53" s="16"/>
      <c r="D53" s="17"/>
      <c r="E53" s="16"/>
      <c r="F53" s="16"/>
      <c r="G53" s="18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41" t="s">
        <v>41</v>
      </c>
      <c r="D54" s="42"/>
      <c r="G54" s="43"/>
    </row>
    <row r="55">
      <c r="A55" s="41" t="s">
        <v>42</v>
      </c>
      <c r="D55" s="42"/>
      <c r="G55" s="43"/>
    </row>
    <row r="56">
      <c r="A56" s="41" t="s">
        <v>43</v>
      </c>
      <c r="D56" s="42"/>
      <c r="G56" s="43"/>
    </row>
    <row r="57">
      <c r="A57" s="36"/>
      <c r="B57" s="21"/>
      <c r="C57" s="21"/>
      <c r="D57" s="22"/>
      <c r="E57" s="21"/>
      <c r="F57" s="21"/>
      <c r="G57" s="23"/>
    </row>
    <row r="58">
      <c r="D58" s="42"/>
      <c r="E58" s="44" t="s">
        <v>44</v>
      </c>
      <c r="F58" s="45" t="s">
        <v>45</v>
      </c>
    </row>
    <row r="59">
      <c r="D59" s="42"/>
    </row>
    <row r="60">
      <c r="D60" s="42"/>
    </row>
  </sheetData>
  <mergeCells count="6">
    <mergeCell ref="A1:B2"/>
    <mergeCell ref="F1:G2"/>
    <mergeCell ref="A33:B34"/>
    <mergeCell ref="C33:C34"/>
    <mergeCell ref="D33:G34"/>
    <mergeCell ref="A44:F5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49" t="s">
        <v>134</v>
      </c>
      <c r="D1" s="150" t="s">
        <v>135</v>
      </c>
      <c r="E1" s="51" t="s">
        <v>49</v>
      </c>
      <c r="F1" s="52" t="s">
        <v>50</v>
      </c>
      <c r="G1" s="152" t="s">
        <v>140</v>
      </c>
    </row>
    <row r="2">
      <c r="A2" s="53" t="s">
        <v>124</v>
      </c>
      <c r="B2" s="54"/>
      <c r="C2" s="54"/>
      <c r="D2" s="55"/>
      <c r="E2" s="56" t="s">
        <v>52</v>
      </c>
      <c r="F2" s="57" t="s">
        <v>53</v>
      </c>
      <c r="G2" s="58"/>
    </row>
    <row r="3">
      <c r="A3" s="59" t="s">
        <v>54</v>
      </c>
      <c r="B3" s="60"/>
      <c r="C3" s="60"/>
      <c r="D3" s="61">
        <v>80000.0</v>
      </c>
      <c r="E3" s="62" t="s">
        <v>141</v>
      </c>
      <c r="F3" s="63"/>
      <c r="G3" s="64" t="s">
        <v>56</v>
      </c>
    </row>
    <row r="4">
      <c r="A4" s="59" t="s">
        <v>57</v>
      </c>
      <c r="B4" s="60"/>
      <c r="C4" s="60"/>
      <c r="D4" s="65">
        <v>5000.0</v>
      </c>
      <c r="E4" s="66" t="s">
        <v>126</v>
      </c>
      <c r="F4" s="43"/>
      <c r="G4" s="67" t="s">
        <v>59</v>
      </c>
    </row>
    <row r="5">
      <c r="A5" s="59" t="s">
        <v>60</v>
      </c>
      <c r="B5" s="60"/>
      <c r="C5" s="60"/>
      <c r="D5" s="65">
        <v>20000.0</v>
      </c>
      <c r="E5" s="20" t="s">
        <v>61</v>
      </c>
      <c r="F5" s="23"/>
      <c r="G5" s="67" t="s">
        <v>62</v>
      </c>
    </row>
    <row r="6">
      <c r="A6" s="59" t="s">
        <v>63</v>
      </c>
      <c r="B6" s="60"/>
      <c r="C6" s="60"/>
      <c r="D6" s="65">
        <v>5000.0</v>
      </c>
      <c r="E6" s="68" t="s">
        <v>64</v>
      </c>
      <c r="F6" s="58"/>
      <c r="G6" s="69" t="s">
        <v>65</v>
      </c>
    </row>
    <row r="7">
      <c r="A7" s="59" t="s">
        <v>66</v>
      </c>
      <c r="B7" s="60"/>
      <c r="C7" s="60"/>
      <c r="D7" s="65">
        <v>550.0</v>
      </c>
      <c r="E7" s="70" t="s">
        <v>67</v>
      </c>
      <c r="F7" s="71" t="s">
        <v>68</v>
      </c>
      <c r="G7" s="69" t="s">
        <v>69</v>
      </c>
    </row>
    <row r="8">
      <c r="A8" s="59" t="s">
        <v>70</v>
      </c>
      <c r="B8" s="60"/>
      <c r="C8" s="60"/>
      <c r="D8" s="65">
        <v>600.0</v>
      </c>
      <c r="E8" s="70" t="s">
        <v>71</v>
      </c>
      <c r="F8" s="71" t="s">
        <v>72</v>
      </c>
      <c r="G8" s="72"/>
    </row>
    <row r="9">
      <c r="A9" s="59" t="s">
        <v>73</v>
      </c>
      <c r="B9" s="60"/>
      <c r="C9" s="60"/>
      <c r="D9" s="65">
        <v>2000.0</v>
      </c>
      <c r="E9" s="70" t="s">
        <v>74</v>
      </c>
      <c r="F9" s="45" t="s">
        <v>75</v>
      </c>
      <c r="G9" s="72"/>
    </row>
    <row r="10">
      <c r="A10" s="59" t="s">
        <v>76</v>
      </c>
      <c r="B10" s="60"/>
      <c r="C10" s="60"/>
      <c r="D10" s="65">
        <v>1500.0</v>
      </c>
      <c r="E10" s="20" t="s">
        <v>63</v>
      </c>
      <c r="F10" s="73" t="s">
        <v>77</v>
      </c>
      <c r="G10" s="34"/>
    </row>
    <row r="11">
      <c r="A11" s="59" t="s">
        <v>78</v>
      </c>
      <c r="B11" s="60"/>
      <c r="C11" s="60"/>
      <c r="D11" s="65">
        <v>3000.0</v>
      </c>
      <c r="E11" s="68" t="s">
        <v>86</v>
      </c>
      <c r="F11" s="84"/>
      <c r="G11" s="58"/>
    </row>
    <row r="12">
      <c r="A12" s="74"/>
      <c r="B12" s="60"/>
      <c r="C12" s="60"/>
      <c r="D12" s="75"/>
      <c r="E12" s="45" t="s">
        <v>54</v>
      </c>
      <c r="G12" s="88" t="s">
        <v>88</v>
      </c>
    </row>
    <row r="13">
      <c r="A13" s="77" t="s">
        <v>82</v>
      </c>
      <c r="B13" s="78"/>
      <c r="C13" s="78"/>
      <c r="D13" s="79">
        <f>SUM(D3:D12)</f>
        <v>117650</v>
      </c>
      <c r="E13" s="70" t="s">
        <v>90</v>
      </c>
      <c r="G13" s="90" t="s">
        <v>91</v>
      </c>
    </row>
    <row r="14">
      <c r="A14" s="80"/>
      <c r="B14" s="81"/>
      <c r="C14" s="81"/>
      <c r="D14" s="82"/>
      <c r="E14" s="70" t="s">
        <v>93</v>
      </c>
      <c r="G14" s="43"/>
    </row>
    <row r="15">
      <c r="A15" s="83" t="s">
        <v>128</v>
      </c>
      <c r="B15" s="84"/>
      <c r="C15" s="84"/>
      <c r="D15" s="85"/>
      <c r="E15" s="70" t="s">
        <v>63</v>
      </c>
      <c r="G15" s="88" t="s">
        <v>95</v>
      </c>
    </row>
    <row r="16">
      <c r="A16" s="86" t="s">
        <v>87</v>
      </c>
      <c r="D16" s="87">
        <v>14593.73</v>
      </c>
      <c r="E16" s="70" t="s">
        <v>97</v>
      </c>
      <c r="G16" s="88" t="s">
        <v>98</v>
      </c>
    </row>
    <row r="17">
      <c r="A17" s="89" t="s">
        <v>89</v>
      </c>
      <c r="D17" s="87">
        <v>14303.13</v>
      </c>
      <c r="E17" s="70" t="s">
        <v>100</v>
      </c>
      <c r="G17" s="43"/>
    </row>
    <row r="18">
      <c r="A18" s="89" t="s">
        <v>92</v>
      </c>
      <c r="D18" s="42">
        <v>14300.0</v>
      </c>
      <c r="E18" s="94" t="s">
        <v>102</v>
      </c>
      <c r="F18" s="84"/>
      <c r="G18" s="58"/>
    </row>
    <row r="19">
      <c r="A19" s="89" t="s">
        <v>94</v>
      </c>
      <c r="D19" s="42">
        <v>3882.2</v>
      </c>
      <c r="E19" s="95"/>
      <c r="G19" s="43"/>
    </row>
    <row r="20">
      <c r="A20" s="89" t="s">
        <v>96</v>
      </c>
      <c r="D20" s="42">
        <v>2950.0</v>
      </c>
      <c r="E20" s="95"/>
      <c r="G20" s="43"/>
    </row>
    <row r="21">
      <c r="A21" s="89" t="s">
        <v>99</v>
      </c>
      <c r="D21" s="42">
        <v>2791.04</v>
      </c>
      <c r="E21" s="95"/>
      <c r="G21" s="43"/>
    </row>
    <row r="22">
      <c r="A22" s="93" t="s">
        <v>101</v>
      </c>
      <c r="D22" s="42">
        <v>1212.0</v>
      </c>
      <c r="E22" s="95"/>
      <c r="G22" s="43"/>
    </row>
    <row r="23">
      <c r="A23" s="93" t="s">
        <v>103</v>
      </c>
      <c r="D23" s="42">
        <v>1190.0</v>
      </c>
      <c r="E23" s="95"/>
      <c r="G23" s="43"/>
    </row>
    <row r="24">
      <c r="A24" s="93" t="s">
        <v>104</v>
      </c>
      <c r="D24" s="42">
        <v>1141.18</v>
      </c>
      <c r="E24" s="95"/>
      <c r="G24" s="43"/>
    </row>
    <row r="25">
      <c r="A25" s="93" t="s">
        <v>105</v>
      </c>
      <c r="D25" s="42">
        <v>1075.97</v>
      </c>
      <c r="E25" s="95"/>
      <c r="G25" s="43"/>
    </row>
    <row r="26">
      <c r="A26" s="96" t="s">
        <v>106</v>
      </c>
      <c r="D26" s="42">
        <v>950.0</v>
      </c>
      <c r="E26" s="20" t="s">
        <v>107</v>
      </c>
      <c r="F26" s="21"/>
      <c r="G26" s="23"/>
    </row>
    <row r="27">
      <c r="A27" s="95"/>
      <c r="D27" s="42"/>
      <c r="E27" s="103" t="s">
        <v>109</v>
      </c>
      <c r="F27" s="104"/>
      <c r="G27" s="121">
        <v>44691.0</v>
      </c>
    </row>
    <row r="28">
      <c r="A28" s="97" t="s">
        <v>82</v>
      </c>
      <c r="B28" s="98"/>
      <c r="C28" s="98"/>
      <c r="D28" s="99">
        <f>SUM(D16:D27)</f>
        <v>58389.25</v>
      </c>
      <c r="E28" s="103" t="s">
        <v>121</v>
      </c>
      <c r="F28" s="104"/>
      <c r="G28" s="113" t="s">
        <v>122</v>
      </c>
    </row>
    <row r="29">
      <c r="A29" s="100" t="s">
        <v>142</v>
      </c>
      <c r="B29" s="101"/>
      <c r="C29" s="170" t="s">
        <v>143</v>
      </c>
      <c r="D29" s="142"/>
      <c r="E29" s="171" t="s">
        <v>144</v>
      </c>
      <c r="G29" s="172" t="s">
        <v>145</v>
      </c>
    </row>
    <row r="30">
      <c r="A30" s="173" t="s">
        <v>146</v>
      </c>
      <c r="B30" s="8"/>
      <c r="C30" s="173" t="s">
        <v>146</v>
      </c>
      <c r="D30" s="8"/>
      <c r="E30" s="173" t="s">
        <v>146</v>
      </c>
      <c r="F30" s="8"/>
      <c r="G30" s="173" t="s">
        <v>146</v>
      </c>
      <c r="H30" s="174"/>
    </row>
    <row r="31">
      <c r="A31" s="39"/>
      <c r="C31" s="39"/>
      <c r="E31" s="39"/>
      <c r="G31" s="39"/>
      <c r="H31" s="174"/>
    </row>
    <row r="32">
      <c r="A32" s="39"/>
      <c r="C32" s="39"/>
      <c r="E32" s="39"/>
      <c r="G32" s="39"/>
      <c r="H32" s="174"/>
    </row>
    <row r="33">
      <c r="A33" s="12"/>
      <c r="B33" s="13"/>
      <c r="C33" s="12"/>
      <c r="D33" s="13"/>
      <c r="E33" s="12"/>
      <c r="F33" s="13"/>
      <c r="G33" s="12"/>
      <c r="H33" s="174"/>
    </row>
    <row r="34">
      <c r="A34" s="1" t="s">
        <v>0</v>
      </c>
      <c r="B34" s="2"/>
      <c r="C34" s="2"/>
      <c r="D34" s="3">
        <v>44875.0</v>
      </c>
      <c r="E34" s="4">
        <v>0.3902777777777778</v>
      </c>
      <c r="F34" s="5" t="s">
        <v>1</v>
      </c>
      <c r="G34" s="6" t="s">
        <v>2</v>
      </c>
    </row>
    <row r="35">
      <c r="A35" s="7" t="s">
        <v>3</v>
      </c>
      <c r="B35" s="8"/>
      <c r="C35" s="9" t="s">
        <v>4</v>
      </c>
      <c r="D35" s="10" t="s">
        <v>5</v>
      </c>
      <c r="E35" s="8"/>
      <c r="F35" s="8"/>
      <c r="G35" s="11"/>
    </row>
    <row r="36">
      <c r="A36" s="12"/>
      <c r="B36" s="13"/>
      <c r="C36" s="13"/>
      <c r="D36" s="13"/>
      <c r="E36" s="13"/>
      <c r="F36" s="13"/>
      <c r="G36" s="14"/>
    </row>
    <row r="37">
      <c r="A37" s="15" t="s">
        <v>6</v>
      </c>
      <c r="B37" s="16"/>
      <c r="C37" s="16"/>
      <c r="D37" s="17"/>
      <c r="E37" s="16"/>
      <c r="F37" s="18"/>
      <c r="G37" s="19" t="s">
        <v>7</v>
      </c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20" t="s">
        <v>8</v>
      </c>
      <c r="B38" s="21"/>
      <c r="C38" s="21"/>
      <c r="D38" s="22"/>
      <c r="E38" s="21"/>
      <c r="F38" s="23"/>
      <c r="G38" s="24">
        <v>44691.0</v>
      </c>
    </row>
    <row r="39">
      <c r="A39" s="15" t="s">
        <v>9</v>
      </c>
      <c r="B39" s="25"/>
      <c r="C39" s="25"/>
      <c r="D39" s="26"/>
      <c r="E39" s="15" t="s">
        <v>10</v>
      </c>
      <c r="F39" s="27"/>
      <c r="G39" s="19" t="s">
        <v>11</v>
      </c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20" t="s">
        <v>12</v>
      </c>
      <c r="B40" s="21"/>
      <c r="C40" s="21"/>
      <c r="D40" s="28"/>
      <c r="E40" s="20" t="s">
        <v>13</v>
      </c>
      <c r="F40" s="23"/>
      <c r="G40" s="29" t="s">
        <v>14</v>
      </c>
    </row>
    <row r="41">
      <c r="A41" s="19" t="s">
        <v>15</v>
      </c>
      <c r="B41" s="19" t="s">
        <v>16</v>
      </c>
      <c r="C41" s="19" t="s">
        <v>17</v>
      </c>
      <c r="D41" s="30" t="s">
        <v>18</v>
      </c>
      <c r="E41" s="15" t="s">
        <v>19</v>
      </c>
      <c r="F41" s="27"/>
      <c r="G41" s="19" t="s">
        <v>20</v>
      </c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24">
        <v>44685.0</v>
      </c>
      <c r="B42" s="31">
        <v>205230.0</v>
      </c>
      <c r="C42" s="29" t="s">
        <v>21</v>
      </c>
      <c r="D42" s="32" t="s">
        <v>22</v>
      </c>
      <c r="E42" s="33">
        <v>44685.0</v>
      </c>
      <c r="F42" s="23"/>
      <c r="G42" s="29" t="s">
        <v>23</v>
      </c>
    </row>
    <row r="43">
      <c r="A43" s="19" t="s">
        <v>24</v>
      </c>
      <c r="B43" s="19" t="s">
        <v>25</v>
      </c>
      <c r="C43" s="19" t="s">
        <v>26</v>
      </c>
      <c r="D43" s="30" t="s">
        <v>27</v>
      </c>
      <c r="E43" s="15" t="s">
        <v>28</v>
      </c>
      <c r="F43" s="27"/>
      <c r="G43" s="19" t="s">
        <v>29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34"/>
      <c r="B44" s="31">
        <v>1.0</v>
      </c>
      <c r="C44" s="29" t="s">
        <v>30</v>
      </c>
      <c r="D44" s="35"/>
      <c r="E44" s="36"/>
      <c r="F44" s="23"/>
      <c r="G44" s="29" t="s">
        <v>31</v>
      </c>
    </row>
    <row r="45">
      <c r="A45" s="125" t="s">
        <v>32</v>
      </c>
      <c r="B45" s="84"/>
      <c r="C45" s="84"/>
      <c r="D45" s="126"/>
      <c r="E45" s="84"/>
      <c r="F45" s="58"/>
      <c r="G45" s="19" t="s">
        <v>33</v>
      </c>
    </row>
    <row r="46">
      <c r="A46" s="37" t="s">
        <v>139</v>
      </c>
      <c r="F46" s="38"/>
      <c r="G46" s="29" t="s">
        <v>35</v>
      </c>
    </row>
    <row r="47">
      <c r="A47" s="39"/>
      <c r="F47" s="38"/>
      <c r="G47" s="19" t="s">
        <v>36</v>
      </c>
    </row>
    <row r="48">
      <c r="A48" s="39"/>
      <c r="F48" s="38"/>
      <c r="G48" s="29" t="s">
        <v>35</v>
      </c>
    </row>
    <row r="49">
      <c r="A49" s="39"/>
      <c r="F49" s="38"/>
      <c r="G49" s="19" t="s">
        <v>37</v>
      </c>
    </row>
    <row r="50">
      <c r="A50" s="39"/>
      <c r="F50" s="38"/>
      <c r="G50" s="29" t="s">
        <v>35</v>
      </c>
    </row>
    <row r="51">
      <c r="A51" s="39"/>
      <c r="F51" s="38"/>
      <c r="G51" s="19" t="s">
        <v>38</v>
      </c>
    </row>
    <row r="52">
      <c r="A52" s="39"/>
      <c r="F52" s="38"/>
      <c r="G52" s="29" t="s">
        <v>35</v>
      </c>
    </row>
    <row r="53">
      <c r="A53" s="39"/>
      <c r="F53" s="38"/>
      <c r="G53" s="40" t="s">
        <v>39</v>
      </c>
    </row>
    <row r="54">
      <c r="A54" s="12"/>
      <c r="B54" s="13"/>
      <c r="C54" s="13"/>
      <c r="D54" s="13"/>
      <c r="E54" s="13"/>
      <c r="F54" s="14"/>
      <c r="G54" s="29" t="s">
        <v>31</v>
      </c>
    </row>
    <row r="55">
      <c r="A55" s="15" t="s">
        <v>40</v>
      </c>
      <c r="B55" s="16"/>
      <c r="C55" s="16"/>
      <c r="D55" s="17"/>
      <c r="E55" s="16"/>
      <c r="F55" s="16"/>
      <c r="G55" s="18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41" t="s">
        <v>41</v>
      </c>
      <c r="D56" s="42"/>
      <c r="G56" s="43"/>
    </row>
    <row r="57">
      <c r="A57" s="41" t="s">
        <v>42</v>
      </c>
      <c r="D57" s="42"/>
      <c r="G57" s="43"/>
    </row>
    <row r="58">
      <c r="A58" s="41" t="s">
        <v>43</v>
      </c>
      <c r="D58" s="42"/>
      <c r="G58" s="43"/>
    </row>
    <row r="59">
      <c r="A59" s="36"/>
      <c r="B59" s="21"/>
      <c r="C59" s="21"/>
      <c r="D59" s="22"/>
      <c r="E59" s="21"/>
      <c r="F59" s="21"/>
      <c r="G59" s="23"/>
    </row>
    <row r="60">
      <c r="D60" s="42"/>
      <c r="E60" s="44" t="s">
        <v>44</v>
      </c>
      <c r="F60" s="45" t="s">
        <v>45</v>
      </c>
    </row>
    <row r="61">
      <c r="D61" s="42"/>
    </row>
    <row r="62">
      <c r="D62" s="42"/>
    </row>
  </sheetData>
  <mergeCells count="9">
    <mergeCell ref="A35:B36"/>
    <mergeCell ref="A46:F54"/>
    <mergeCell ref="A1:C1"/>
    <mergeCell ref="A30:B33"/>
    <mergeCell ref="C30:D33"/>
    <mergeCell ref="E30:F33"/>
    <mergeCell ref="G30:G33"/>
    <mergeCell ref="C35:C36"/>
    <mergeCell ref="D35:G36"/>
  </mergeCells>
  <hyperlinks>
    <hyperlink r:id="rId1" ref="E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63"/>
    <col customWidth="1" min="3" max="3" width="16.13"/>
    <col customWidth="1" min="8" max="8" width="10.0"/>
    <col customWidth="1" min="9" max="9" width="5.88"/>
  </cols>
  <sheetData>
    <row r="1">
      <c r="I1" s="45" t="s">
        <v>147</v>
      </c>
    </row>
    <row r="19">
      <c r="A19" s="45"/>
      <c r="B19" s="45" t="s">
        <v>147</v>
      </c>
    </row>
    <row r="23">
      <c r="A23" s="50"/>
      <c r="B23" s="50" t="s">
        <v>125</v>
      </c>
    </row>
    <row r="24">
      <c r="A24" s="50"/>
      <c r="E24" s="122" t="s">
        <v>148</v>
      </c>
      <c r="F24" s="137"/>
      <c r="G24" s="138"/>
    </row>
    <row r="26">
      <c r="B26" s="175"/>
      <c r="C26" s="163" t="s">
        <v>149</v>
      </c>
      <c r="D26" s="84"/>
      <c r="E26" s="84"/>
      <c r="F26" s="84"/>
      <c r="G26" s="58"/>
    </row>
    <row r="27">
      <c r="B27" s="95"/>
      <c r="C27" s="45" t="s">
        <v>150</v>
      </c>
      <c r="E27" s="45" t="s">
        <v>151</v>
      </c>
      <c r="G27" s="43"/>
    </row>
    <row r="28">
      <c r="B28" s="36"/>
      <c r="C28" s="176" t="s">
        <v>152</v>
      </c>
      <c r="D28" s="176" t="s">
        <v>153</v>
      </c>
      <c r="E28" s="21"/>
      <c r="F28" s="176" t="s">
        <v>154</v>
      </c>
      <c r="G28" s="23"/>
    </row>
    <row r="42">
      <c r="A42" s="45"/>
      <c r="B42" s="45" t="s">
        <v>147</v>
      </c>
    </row>
    <row r="44">
      <c r="A44" s="175"/>
      <c r="B44" s="84"/>
      <c r="C44" s="163" t="s">
        <v>155</v>
      </c>
      <c r="D44" s="84"/>
      <c r="E44" s="84"/>
      <c r="F44" s="84"/>
      <c r="G44" s="58"/>
    </row>
    <row r="45">
      <c r="A45" s="95"/>
      <c r="C45" s="177" t="s">
        <v>156</v>
      </c>
      <c r="G45" s="43"/>
    </row>
    <row r="46">
      <c r="A46" s="95"/>
      <c r="C46" s="45" t="s">
        <v>150</v>
      </c>
      <c r="E46" s="45" t="s">
        <v>151</v>
      </c>
      <c r="G46" s="43"/>
    </row>
    <row r="47">
      <c r="A47" s="36"/>
      <c r="B47" s="21"/>
      <c r="C47" s="176" t="s">
        <v>152</v>
      </c>
      <c r="D47" s="176" t="s">
        <v>153</v>
      </c>
      <c r="E47" s="21"/>
      <c r="F47" s="176"/>
      <c r="G47" s="23"/>
    </row>
    <row r="50">
      <c r="A50" s="7" t="s">
        <v>157</v>
      </c>
      <c r="B50" s="8"/>
      <c r="C50" s="8"/>
      <c r="D50" s="8"/>
      <c r="E50" s="8"/>
      <c r="F50" s="8"/>
      <c r="G50" s="8"/>
      <c r="H50" s="11"/>
    </row>
    <row r="51">
      <c r="A51" s="12"/>
      <c r="B51" s="13"/>
      <c r="C51" s="13"/>
      <c r="D51" s="13"/>
      <c r="E51" s="13"/>
      <c r="F51" s="13"/>
      <c r="G51" s="13"/>
      <c r="H51" s="14"/>
    </row>
    <row r="53">
      <c r="A53" s="178"/>
      <c r="B53" s="179" t="s">
        <v>158</v>
      </c>
      <c r="C53" s="179" t="s">
        <v>159</v>
      </c>
      <c r="D53" s="179" t="s">
        <v>160</v>
      </c>
      <c r="E53" s="11"/>
      <c r="F53" s="180" t="s">
        <v>161</v>
      </c>
      <c r="G53" s="178" t="s">
        <v>162</v>
      </c>
      <c r="H53" s="58"/>
    </row>
    <row r="54">
      <c r="A54" s="181"/>
      <c r="B54" s="182" t="s">
        <v>163</v>
      </c>
      <c r="C54" s="182" t="s">
        <v>164</v>
      </c>
      <c r="D54" s="182" t="s">
        <v>165</v>
      </c>
      <c r="E54" s="38"/>
      <c r="F54" s="183"/>
      <c r="G54" s="184" t="s">
        <v>166</v>
      </c>
      <c r="H54" s="23"/>
    </row>
    <row r="55">
      <c r="A55" s="181"/>
      <c r="B55" s="182" t="s">
        <v>167</v>
      </c>
      <c r="C55" s="182" t="s">
        <v>168</v>
      </c>
      <c r="D55" s="185" t="s">
        <v>169</v>
      </c>
      <c r="E55" s="38"/>
      <c r="F55" s="179" t="s">
        <v>170</v>
      </c>
      <c r="G55" s="84"/>
      <c r="H55" s="58"/>
    </row>
    <row r="56">
      <c r="A56" s="186"/>
      <c r="B56" s="187"/>
      <c r="C56" s="187"/>
      <c r="D56" s="13"/>
      <c r="E56" s="14"/>
      <c r="F56" s="187"/>
      <c r="G56" s="21"/>
      <c r="H56" s="23"/>
    </row>
    <row r="57">
      <c r="D57" s="182" t="s">
        <v>171</v>
      </c>
    </row>
    <row r="60">
      <c r="A60" s="45"/>
      <c r="B60" s="45" t="s">
        <v>147</v>
      </c>
    </row>
  </sheetData>
  <mergeCells count="6">
    <mergeCell ref="B23:C24"/>
    <mergeCell ref="E24:G24"/>
    <mergeCell ref="A50:H51"/>
    <mergeCell ref="D53:E53"/>
    <mergeCell ref="D54:E54"/>
    <mergeCell ref="D55:E5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